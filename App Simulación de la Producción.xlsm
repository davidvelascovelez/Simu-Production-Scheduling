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TFG-App Simulación Planificación Producción\"/>
    </mc:Choice>
  </mc:AlternateContent>
  <xr:revisionPtr revIDLastSave="0" documentId="8_{2AF139DA-1DCF-46BB-B7D1-5D40A013E25E}" xr6:coauthVersionLast="47" xr6:coauthVersionMax="47" xr10:uidLastSave="{00000000-0000-0000-0000-000000000000}"/>
  <bookViews>
    <workbookView xWindow="-120" yWindow="-120" windowWidth="20730" windowHeight="11160" xr2:uid="{75C944A3-22A5-4DC7-AA4B-AE1B1DD029FF}"/>
  </bookViews>
  <sheets>
    <sheet name="Inicio" sheetId="7" r:id="rId1"/>
    <sheet name="PAP" sheetId="1" r:id="rId2"/>
    <sheet name="Resultados_PAP" sheetId="4" r:id="rId3"/>
    <sheet name="PMP" sheetId="5" r:id="rId4"/>
    <sheet name="Resultados_PMP" sheetId="9" r:id="rId5"/>
    <sheet name="CAPACIDAD" sheetId="8" r:id="rId6"/>
    <sheet name="RESULTADOS_CAP" sheetId="1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8" i="8" l="1"/>
  <c r="Q39" i="8"/>
  <c r="Q40" i="8"/>
  <c r="Q37" i="8"/>
  <c r="P41" i="8"/>
  <c r="N41" i="8"/>
  <c r="O38" i="8"/>
  <c r="O39" i="8"/>
  <c r="O40" i="8"/>
  <c r="O37" i="8"/>
  <c r="M38" i="8"/>
  <c r="M39" i="8"/>
  <c r="M40" i="8"/>
  <c r="M37" i="8"/>
  <c r="L41" i="8"/>
  <c r="O41" i="8" l="1"/>
  <c r="Q41" i="8"/>
  <c r="M41" i="8"/>
</calcChain>
</file>

<file path=xl/sharedStrings.xml><?xml version="1.0" encoding="utf-8"?>
<sst xmlns="http://schemas.openxmlformats.org/spreadsheetml/2006/main" count="308" uniqueCount="165">
  <si>
    <t>ETSII Ciudad Real</t>
  </si>
  <si>
    <t>APLICACIÓN PARA LA SIMULACIÓN DEL CONTROL DE LA PRODUCCIÓN</t>
  </si>
  <si>
    <t>SIMULACIÓN DEL PAP</t>
  </si>
  <si>
    <t>Plantilla inicial</t>
  </si>
  <si>
    <t>Plantilla máxima</t>
  </si>
  <si>
    <t>Plantilla fija</t>
  </si>
  <si>
    <t>Horas estandar por operario y día</t>
  </si>
  <si>
    <t>Horas de prod máx diarias</t>
  </si>
  <si>
    <t>Horas extra máx sobre regular (%)</t>
  </si>
  <si>
    <t>Política empresarial</t>
  </si>
  <si>
    <t>Coste h.e. en jornada regular</t>
  </si>
  <si>
    <t>Coste h.e. en tiempo extra</t>
  </si>
  <si>
    <t>Coste h.e. mano de obra ociosa</t>
  </si>
  <si>
    <t>Coste de contratación</t>
  </si>
  <si>
    <t>Coste de despido</t>
  </si>
  <si>
    <t>Coste por unidad subcontratada</t>
  </si>
  <si>
    <t>Coste de posesión unitario</t>
  </si>
  <si>
    <t>Coste de posesión</t>
  </si>
  <si>
    <t xml:space="preserve">Coste de servir con retraso </t>
  </si>
  <si>
    <t>Estructura de costes</t>
  </si>
  <si>
    <t>h.e. por unidad de familia</t>
  </si>
  <si>
    <t xml:space="preserve">Inventario inicial </t>
  </si>
  <si>
    <t>Stock de Seguridad</t>
  </si>
  <si>
    <t>Info de producto/proceso</t>
  </si>
  <si>
    <t>Info de simulación</t>
  </si>
  <si>
    <t>Número de periodos</t>
  </si>
  <si>
    <t>Necesidades de producción:</t>
  </si>
  <si>
    <t>Pedidos pendientes:</t>
  </si>
  <si>
    <t>Pedidos comprometidos:</t>
  </si>
  <si>
    <t>Previsión:</t>
  </si>
  <si>
    <t xml:space="preserve">Datos de entrada para realizar las simulaciones correspondientes al cálculo del Plan Agregado de Producción </t>
  </si>
  <si>
    <t>Coste total:</t>
  </si>
  <si>
    <t>Nivel de servicio:</t>
  </si>
  <si>
    <t>Caza</t>
  </si>
  <si>
    <t>Resultados de los cálculos realizados en Matlab en base a los datos introducidos en la hoja PAP</t>
  </si>
  <si>
    <t>Necesidades producción</t>
  </si>
  <si>
    <t>Días productivos</t>
  </si>
  <si>
    <t>Producción Regular</t>
  </si>
  <si>
    <t>Producción H. Extra</t>
  </si>
  <si>
    <t>Subcontratación</t>
  </si>
  <si>
    <t>Horas MO Regular</t>
  </si>
  <si>
    <t>Mano de Obra</t>
  </si>
  <si>
    <t>Coste MO</t>
  </si>
  <si>
    <t>Coste MO Oficiosa</t>
  </si>
  <si>
    <t>Variación MO</t>
  </si>
  <si>
    <t>Coste Variación MO</t>
  </si>
  <si>
    <t>Coste Producción H.E.</t>
  </si>
  <si>
    <t>Coste Subcontratación</t>
  </si>
  <si>
    <t>Inventario Final</t>
  </si>
  <si>
    <t>Coste Inventario Final</t>
  </si>
  <si>
    <t>Suma de Costes</t>
  </si>
  <si>
    <t>CAZA</t>
  </si>
  <si>
    <t>NIV MO</t>
  </si>
  <si>
    <t>NIV PROD</t>
  </si>
  <si>
    <t>Niv. MO</t>
  </si>
  <si>
    <t>Niv. Prod</t>
  </si>
  <si>
    <t>SIMULACIÓN DEL PMP</t>
  </si>
  <si>
    <t xml:space="preserve">Datos de entrada para realizar las simulaciones correspondientes al cálculo del Plan Maestro de Producción </t>
  </si>
  <si>
    <t>Mes de inicio</t>
  </si>
  <si>
    <t xml:space="preserve">Índice de similitud estrategia mixta </t>
  </si>
  <si>
    <t xml:space="preserve">Mix </t>
  </si>
  <si>
    <t xml:space="preserve">MIX </t>
  </si>
  <si>
    <t>Coste de emisión por pedido</t>
  </si>
  <si>
    <t xml:space="preserve">Coste de posesión unitario </t>
  </si>
  <si>
    <t>Info de proceso</t>
  </si>
  <si>
    <t>Necesidades Brutas (NB):</t>
  </si>
  <si>
    <t>Inventario en Exceso sobre el PAP:</t>
  </si>
  <si>
    <t>Pedidos en Curso:</t>
  </si>
  <si>
    <t>Num de periodos</t>
  </si>
  <si>
    <t>Resultados de los cálculos realizados en Matlab en base a los datos introducidos en la hoja PMP</t>
  </si>
  <si>
    <t>Lote a Lote</t>
  </si>
  <si>
    <t>PMP</t>
  </si>
  <si>
    <t>Lote a Lote:</t>
  </si>
  <si>
    <t>Mínimo coste unitario:</t>
  </si>
  <si>
    <t>Mínimo coste total:</t>
  </si>
  <si>
    <t>Silver Meal:</t>
  </si>
  <si>
    <t>Periodo Constante óptimo:</t>
  </si>
  <si>
    <t>EOQ:</t>
  </si>
  <si>
    <t>Min unitario</t>
  </si>
  <si>
    <t>Min total</t>
  </si>
  <si>
    <t>Silver Meal</t>
  </si>
  <si>
    <t>Periodo Cte</t>
  </si>
  <si>
    <t>EOQ</t>
  </si>
  <si>
    <t>Coste:</t>
  </si>
  <si>
    <t>Necesidades Brutas (NB)</t>
  </si>
  <si>
    <t>Pedidos en Curso (PC)</t>
  </si>
  <si>
    <t>Necesidades Netas (NN)</t>
  </si>
  <si>
    <t>Inventario en Exceso (IE)</t>
  </si>
  <si>
    <t>Inventario Final (IF)</t>
  </si>
  <si>
    <t>LOTE LOTE</t>
  </si>
  <si>
    <t>MIN UNITARIO</t>
  </si>
  <si>
    <t>MIN TOTAL</t>
  </si>
  <si>
    <t>SILVER MEAL</t>
  </si>
  <si>
    <t>PERIODO CTE</t>
  </si>
  <si>
    <t xml:space="preserve">Datos de entrada para realizar las simulaciones correspondientes al cálculo del Plan de Capacidad Aproximado </t>
  </si>
  <si>
    <t>Lista de materiales:</t>
  </si>
  <si>
    <t>Resultados de los cálculos realizados en Matlab en base a los datos introducidos en la hoja CAPACIDAD</t>
  </si>
  <si>
    <t>Comp</t>
  </si>
  <si>
    <t>Cant</t>
  </si>
  <si>
    <t>P1</t>
  </si>
  <si>
    <t>A</t>
  </si>
  <si>
    <t>C21</t>
  </si>
  <si>
    <t>C22</t>
  </si>
  <si>
    <t>C23</t>
  </si>
  <si>
    <t>P2</t>
  </si>
  <si>
    <t>B</t>
  </si>
  <si>
    <t>Resumen:</t>
  </si>
  <si>
    <t>Detalle:</t>
  </si>
  <si>
    <t>Capacidad disponible en los CT:</t>
  </si>
  <si>
    <t>h.e. o/dia:</t>
  </si>
  <si>
    <t>CT</t>
  </si>
  <si>
    <t>Capacidades / semana</t>
  </si>
  <si>
    <t>Mes 1</t>
  </si>
  <si>
    <t>Mes 2</t>
  </si>
  <si>
    <t>Mes 3</t>
  </si>
  <si>
    <t>MO</t>
  </si>
  <si>
    <t>h.e.</t>
  </si>
  <si>
    <t xml:space="preserve">h.e. </t>
  </si>
  <si>
    <t>Rutas, centros de trabajo y operaciones:</t>
  </si>
  <si>
    <t xml:space="preserve">Ruta </t>
  </si>
  <si>
    <t>Operación</t>
  </si>
  <si>
    <t>Tiempo de carga de las operaciones en h.e.</t>
  </si>
  <si>
    <t>Aprovechamiento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</si>
  <si>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</si>
  <si>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</si>
  <si>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</si>
  <si>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</si>
  <si>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</si>
  <si>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</si>
  <si>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</si>
  <si>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</si>
  <si>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</si>
  <si>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</si>
  <si>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1
(P1)</t>
  </si>
  <si>
    <t>2
(P2)</t>
  </si>
  <si>
    <t>3
(A)</t>
  </si>
  <si>
    <t>4
(B)</t>
  </si>
  <si>
    <t>Plan Maestro de Producción P1 y P2:</t>
  </si>
  <si>
    <t>SIMULACIÓN DEL PLAN APROXIMADO DE CAPACIDAD</t>
  </si>
  <si>
    <t>Periodos</t>
  </si>
  <si>
    <t>Desv Acumulada</t>
  </si>
  <si>
    <t>CT1</t>
  </si>
  <si>
    <t>CT2</t>
  </si>
  <si>
    <t>CT3</t>
  </si>
  <si>
    <t>CT4</t>
  </si>
  <si>
    <t>Desviación</t>
  </si>
  <si>
    <t>Desv Acum</t>
  </si>
  <si>
    <t>Ampliación:</t>
  </si>
  <si>
    <t>PMP1</t>
  </si>
  <si>
    <t>PMP2</t>
  </si>
  <si>
    <t>Carga P1</t>
  </si>
  <si>
    <t>Carga P2</t>
  </si>
  <si>
    <t>Plan de capacidad CT1</t>
  </si>
  <si>
    <t>Capacidad Estandar Disp</t>
  </si>
  <si>
    <t>Desviación Acumulada</t>
  </si>
  <si>
    <t>Plan de capacidad CT2</t>
  </si>
  <si>
    <t>Plan de capacidad CT3</t>
  </si>
  <si>
    <t>Plan de capacidad CT4</t>
  </si>
  <si>
    <t>TOTAL:</t>
  </si>
  <si>
    <t>Autor:</t>
  </si>
  <si>
    <t>David Velasco Vélez</t>
  </si>
  <si>
    <t>Tutora:</t>
  </si>
  <si>
    <t>María del Carmen Carnero Moya</t>
  </si>
  <si>
    <t>Febrero 2023</t>
  </si>
  <si>
    <t>Aplicación para la Simulación de la Planificación de la Producción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</si>
</sst>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Verdana"/>
      <family val="2"/>
    </font>
    <font>
      <b/>
      <sz val="10"/>
      <color theme="1"/>
      <name val="Verdana"/>
      <family val="2"/>
    </font>
    <font>
      <b/>
      <sz val="8"/>
      <color theme="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3" borderId="20" xfId="0" applyFill="1" applyBorder="1"/>
    <xf numFmtId="0" fontId="0" fillId="3" borderId="14" xfId="0" applyFill="1" applyBorder="1"/>
    <xf numFmtId="0" fontId="0" fillId="3" borderId="17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17" xfId="0" applyFill="1" applyBorder="1"/>
    <xf numFmtId="0" fontId="0" fillId="7" borderId="20" xfId="0" applyFill="1" applyBorder="1"/>
    <xf numFmtId="0" fontId="0" fillId="7" borderId="14" xfId="0" applyFill="1" applyBorder="1"/>
    <xf numFmtId="0" fontId="0" fillId="7" borderId="17" xfId="0" applyFill="1" applyBorder="1"/>
    <xf numFmtId="0" fontId="0" fillId="9" borderId="17" xfId="0" applyFill="1" applyBorder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11" borderId="27" xfId="0" applyFill="1" applyBorder="1" applyAlignment="1">
      <alignment horizontal="center"/>
    </xf>
    <xf numFmtId="0" fontId="0" fillId="11" borderId="28" xfId="0" applyFill="1" applyBorder="1" applyAlignment="1">
      <alignment horizontal="center"/>
    </xf>
    <xf numFmtId="0" fontId="0" fillId="11" borderId="29" xfId="0" applyFill="1" applyBorder="1" applyAlignment="1">
      <alignment horizontal="center"/>
    </xf>
    <xf numFmtId="0" fontId="0" fillId="13" borderId="0" xfId="0" applyFill="1" applyAlignment="1">
      <alignment vertical="top" wrapText="1"/>
    </xf>
    <xf numFmtId="0" fontId="0" fillId="14" borderId="27" xfId="0" applyFill="1" applyBorder="1" applyAlignment="1">
      <alignment horizontal="center" vertical="center"/>
    </xf>
    <xf numFmtId="0" fontId="0" fillId="14" borderId="28" xfId="0" applyFill="1" applyBorder="1" applyAlignment="1">
      <alignment horizontal="center" vertical="center"/>
    </xf>
    <xf numFmtId="0" fontId="0" fillId="14" borderId="29" xfId="0" applyFill="1" applyBorder="1" applyAlignment="1">
      <alignment horizontal="center" vertical="center"/>
    </xf>
    <xf numFmtId="0" fontId="0" fillId="9" borderId="32" xfId="0" applyFill="1" applyBorder="1"/>
    <xf numFmtId="0" fontId="0" fillId="9" borderId="14" xfId="0" applyFill="1" applyBorder="1"/>
    <xf numFmtId="0" fontId="3" fillId="11" borderId="27" xfId="0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 vertical="center"/>
    </xf>
    <xf numFmtId="0" fontId="3" fillId="11" borderId="29" xfId="0" applyFont="1" applyFill="1" applyBorder="1" applyAlignment="1">
      <alignment horizontal="center" vertical="center"/>
    </xf>
    <xf numFmtId="0" fontId="6" fillId="12" borderId="3" xfId="0" applyFont="1" applyFill="1" applyBorder="1" applyAlignment="1">
      <alignment horizontal="left" vertical="top" wrapText="1"/>
    </xf>
    <xf numFmtId="0" fontId="6" fillId="12" borderId="4" xfId="0" applyFont="1" applyFill="1" applyBorder="1" applyAlignment="1">
      <alignment horizontal="left" vertical="top" wrapText="1"/>
    </xf>
    <xf numFmtId="0" fontId="6" fillId="12" borderId="5" xfId="0" applyFont="1" applyFill="1" applyBorder="1" applyAlignment="1">
      <alignment horizontal="left" vertical="top" wrapText="1"/>
    </xf>
    <xf numFmtId="0" fontId="6" fillId="12" borderId="6" xfId="0" applyFont="1" applyFill="1" applyBorder="1" applyAlignment="1">
      <alignment horizontal="left" vertical="top" wrapText="1"/>
    </xf>
    <xf numFmtId="0" fontId="6" fillId="12" borderId="0" xfId="0" applyFont="1" applyFill="1" applyAlignment="1">
      <alignment horizontal="left" vertical="top" wrapText="1"/>
    </xf>
    <xf numFmtId="0" fontId="6" fillId="12" borderId="7" xfId="0" applyFont="1" applyFill="1" applyBorder="1" applyAlignment="1">
      <alignment horizontal="left" vertical="top" wrapText="1"/>
    </xf>
    <xf numFmtId="0" fontId="6" fillId="12" borderId="8" xfId="0" applyFont="1" applyFill="1" applyBorder="1" applyAlignment="1">
      <alignment horizontal="left" vertical="top" wrapText="1"/>
    </xf>
    <xf numFmtId="0" fontId="6" fillId="12" borderId="9" xfId="0" applyFont="1" applyFill="1" applyBorder="1" applyAlignment="1">
      <alignment horizontal="left" vertical="top" wrapText="1"/>
    </xf>
    <xf numFmtId="0" fontId="6" fillId="12" borderId="10" xfId="0" applyFont="1" applyFill="1" applyBorder="1" applyAlignment="1">
      <alignment horizontal="left" vertical="top" wrapText="1"/>
    </xf>
    <xf numFmtId="0" fontId="3" fillId="10" borderId="13" xfId="0" applyFont="1" applyFill="1" applyBorder="1" applyAlignment="1">
      <alignment horizontal="left"/>
    </xf>
    <xf numFmtId="0" fontId="3" fillId="10" borderId="12" xfId="0" applyFont="1" applyFill="1" applyBorder="1" applyAlignment="1">
      <alignment horizontal="left"/>
    </xf>
    <xf numFmtId="0" fontId="3" fillId="10" borderId="14" xfId="0" applyFont="1" applyFill="1" applyBorder="1" applyAlignment="1">
      <alignment horizontal="left"/>
    </xf>
    <xf numFmtId="0" fontId="3" fillId="10" borderId="15" xfId="0" applyFont="1" applyFill="1" applyBorder="1" applyAlignment="1">
      <alignment horizontal="left"/>
    </xf>
    <xf numFmtId="0" fontId="3" fillId="10" borderId="16" xfId="0" applyFont="1" applyFill="1" applyBorder="1" applyAlignment="1">
      <alignment horizontal="left"/>
    </xf>
    <xf numFmtId="0" fontId="3" fillId="10" borderId="17" xfId="0" applyFont="1" applyFill="1" applyBorder="1" applyAlignment="1">
      <alignment horizontal="left"/>
    </xf>
    <xf numFmtId="0" fontId="0" fillId="11" borderId="24" xfId="0" applyFill="1" applyBorder="1" applyAlignment="1">
      <alignment horizontal="center"/>
    </xf>
    <xf numFmtId="0" fontId="0" fillId="11" borderId="25" xfId="0" applyFill="1" applyBorder="1" applyAlignment="1">
      <alignment horizontal="center"/>
    </xf>
    <xf numFmtId="0" fontId="0" fillId="11" borderId="30" xfId="0" applyFill="1" applyBorder="1" applyAlignment="1">
      <alignment horizontal="center"/>
    </xf>
    <xf numFmtId="0" fontId="0" fillId="9" borderId="13" xfId="0" applyFill="1" applyBorder="1" applyAlignment="1">
      <alignment horizontal="left"/>
    </xf>
    <xf numFmtId="0" fontId="0" fillId="9" borderId="12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0" fontId="0" fillId="7" borderId="19" xfId="0" applyFill="1" applyBorder="1" applyAlignment="1">
      <alignment horizontal="left"/>
    </xf>
    <xf numFmtId="0" fontId="0" fillId="7" borderId="13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5" xfId="0" applyFill="1" applyBorder="1" applyAlignment="1">
      <alignment horizontal="left"/>
    </xf>
    <xf numFmtId="0" fontId="0" fillId="7" borderId="16" xfId="0" applyFill="1" applyBorder="1" applyAlignment="1">
      <alignment horizontal="left"/>
    </xf>
    <xf numFmtId="0" fontId="4" fillId="6" borderId="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9" borderId="31" xfId="0" applyFill="1" applyBorder="1" applyAlignment="1">
      <alignment horizontal="left"/>
    </xf>
    <xf numFmtId="0" fontId="0" fillId="9" borderId="36" xfId="0" applyFill="1" applyBorder="1" applyAlignment="1">
      <alignment horizontal="left"/>
    </xf>
    <xf numFmtId="0" fontId="4" fillId="8" borderId="3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5" borderId="15" xfId="0" applyFill="1" applyBorder="1" applyAlignment="1">
      <alignment horizontal="left"/>
    </xf>
    <xf numFmtId="0" fontId="0" fillId="5" borderId="16" xfId="0" applyFill="1" applyBorder="1" applyAlignment="1">
      <alignment horizontal="left"/>
    </xf>
    <xf numFmtId="0" fontId="4" fillId="2" borderId="1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left"/>
    </xf>
    <xf numFmtId="0" fontId="0" fillId="5" borderId="19" xfId="0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0" fillId="3" borderId="24" xfId="0" applyFill="1" applyBorder="1" applyAlignment="1">
      <alignment horizontal="left" vertical="center"/>
    </xf>
    <xf numFmtId="0" fontId="0" fillId="3" borderId="25" xfId="0" applyFill="1" applyBorder="1" applyAlignment="1">
      <alignment horizontal="left" vertical="center"/>
    </xf>
    <xf numFmtId="0" fontId="0" fillId="3" borderId="26" xfId="0" applyFill="1" applyBorder="1" applyAlignment="1">
      <alignment horizontal="left" vertical="center"/>
    </xf>
    <xf numFmtId="0" fontId="0" fillId="3" borderId="21" xfId="0" applyFill="1" applyBorder="1" applyAlignment="1">
      <alignment horizontal="left" vertical="center"/>
    </xf>
    <xf numFmtId="0" fontId="0" fillId="3" borderId="22" xfId="0" applyFill="1" applyBorder="1" applyAlignment="1">
      <alignment horizontal="left" vertical="center"/>
    </xf>
    <xf numFmtId="0" fontId="0" fillId="3" borderId="23" xfId="0" applyFill="1" applyBorder="1" applyAlignment="1">
      <alignment horizontal="left" vertical="center"/>
    </xf>
    <xf numFmtId="49" fontId="0" fillId="3" borderId="21" xfId="0" applyNumberFormat="1" applyFill="1" applyBorder="1" applyAlignment="1">
      <alignment horizontal="left" vertical="center" wrapText="1"/>
    </xf>
    <xf numFmtId="49" fontId="0" fillId="3" borderId="22" xfId="0" applyNumberFormat="1" applyFill="1" applyBorder="1" applyAlignment="1">
      <alignment horizontal="left" vertical="center" wrapText="1"/>
    </xf>
    <xf numFmtId="49" fontId="0" fillId="3" borderId="23" xfId="0" applyNumberFormat="1" applyFill="1" applyBorder="1" applyAlignment="1">
      <alignment horizontal="left" vertical="center" wrapText="1"/>
    </xf>
    <xf numFmtId="0" fontId="0" fillId="3" borderId="15" xfId="0" applyFill="1" applyBorder="1" applyAlignment="1">
      <alignment horizontal="left" vertical="center"/>
    </xf>
    <xf numFmtId="0" fontId="0" fillId="3" borderId="16" xfId="0" applyFill="1" applyBorder="1" applyAlignment="1">
      <alignment horizontal="left" vertical="center"/>
    </xf>
    <xf numFmtId="0" fontId="0" fillId="9" borderId="15" xfId="0" applyFill="1" applyBorder="1" applyAlignment="1">
      <alignment horizontal="left"/>
    </xf>
    <xf numFmtId="0" fontId="0" fillId="9" borderId="16" xfId="0" applyFill="1" applyBorder="1" applyAlignment="1">
      <alignment horizontal="left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14" borderId="21" xfId="0" applyFill="1" applyBorder="1" applyAlignment="1">
      <alignment horizontal="left" vertical="center"/>
    </xf>
    <xf numFmtId="0" fontId="0" fillId="14" borderId="33" xfId="0" applyFill="1" applyBorder="1" applyAlignment="1">
      <alignment horizontal="left" vertical="center"/>
    </xf>
    <xf numFmtId="0" fontId="0" fillId="14" borderId="13" xfId="0" applyFill="1" applyBorder="1" applyAlignment="1">
      <alignment horizontal="left" vertical="center"/>
    </xf>
    <xf numFmtId="0" fontId="0" fillId="14" borderId="14" xfId="0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15" borderId="34" xfId="0" applyFont="1" applyFill="1" applyBorder="1" applyAlignment="1">
      <alignment horizontal="center" vertical="center"/>
    </xf>
    <xf numFmtId="0" fontId="7" fillId="15" borderId="35" xfId="0" applyFont="1" applyFill="1" applyBorder="1" applyAlignment="1">
      <alignment horizontal="center" vertical="center"/>
    </xf>
    <xf numFmtId="0" fontId="0" fillId="14" borderId="15" xfId="0" applyFill="1" applyBorder="1" applyAlignment="1">
      <alignment horizontal="left" vertical="center"/>
    </xf>
    <xf numFmtId="0" fontId="0" fillId="14" borderId="17" xfId="0" applyFill="1" applyBorder="1" applyAlignment="1">
      <alignment horizontal="left" vertical="center"/>
    </xf>
    <xf numFmtId="0" fontId="0" fillId="14" borderId="31" xfId="0" applyFill="1" applyBorder="1" applyAlignment="1">
      <alignment horizontal="left" vertical="center"/>
    </xf>
    <xf numFmtId="0" fontId="0" fillId="14" borderId="32" xfId="0" applyFill="1" applyBorder="1" applyAlignment="1">
      <alignment horizontal="left" vertical="center"/>
    </xf>
    <xf numFmtId="0" fontId="0" fillId="11" borderId="15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31" xfId="0" applyFill="1" applyBorder="1" applyAlignment="1">
      <alignment horizontal="left"/>
    </xf>
    <xf numFmtId="0" fontId="0" fillId="11" borderId="32" xfId="0" applyFill="1" applyBorder="1" applyAlignment="1">
      <alignment horizontal="left"/>
    </xf>
    <xf numFmtId="0" fontId="4" fillId="11" borderId="24" xfId="0" applyFont="1" applyFill="1" applyBorder="1" applyAlignment="1">
      <alignment horizontal="center"/>
    </xf>
    <xf numFmtId="0" fontId="4" fillId="11" borderId="25" xfId="0" applyFont="1" applyFill="1" applyBorder="1" applyAlignment="1">
      <alignment horizontal="center"/>
    </xf>
    <xf numFmtId="0" fontId="4" fillId="11" borderId="30" xfId="0" applyFont="1" applyFill="1" applyBorder="1" applyAlignment="1">
      <alignment horizontal="center"/>
    </xf>
    <xf numFmtId="0" fontId="1" fillId="0" borderId="0" xfId="0" applyFont="1"/>
    <xf numFmtId="0" fontId="3" fillId="17" borderId="37" xfId="0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/>
    </xf>
    <xf numFmtId="0" fontId="0" fillId="5" borderId="41" xfId="0" applyFill="1" applyBorder="1" applyAlignment="1">
      <alignment horizontal="center"/>
    </xf>
    <xf numFmtId="0" fontId="3" fillId="6" borderId="37" xfId="0" applyFont="1" applyFill="1" applyBorder="1" applyAlignment="1">
      <alignment vertical="center"/>
    </xf>
    <xf numFmtId="0" fontId="0" fillId="7" borderId="2" xfId="0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6" borderId="39" xfId="0" applyFont="1" applyFill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  <xf numFmtId="0" fontId="3" fillId="6" borderId="42" xfId="0" applyFont="1" applyFill="1" applyBorder="1" applyAlignment="1">
      <alignment horizontal="center" vertical="center"/>
    </xf>
    <xf numFmtId="0" fontId="3" fillId="6" borderId="43" xfId="0" applyFont="1" applyFill="1" applyBorder="1" applyAlignment="1">
      <alignment horizontal="center" vertical="center"/>
    </xf>
    <xf numFmtId="0" fontId="3" fillId="6" borderId="44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37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10" borderId="37" xfId="0" applyFont="1" applyFill="1" applyBorder="1" applyAlignment="1">
      <alignment horizontal="center" vertical="center"/>
    </xf>
    <xf numFmtId="0" fontId="3" fillId="10" borderId="37" xfId="0" applyFont="1" applyFill="1" applyBorder="1" applyAlignment="1">
      <alignment horizontal="center" vertical="center" wrapText="1"/>
    </xf>
    <xf numFmtId="0" fontId="3" fillId="10" borderId="38" xfId="0" applyFont="1" applyFill="1" applyBorder="1" applyAlignment="1">
      <alignment horizontal="center" vertical="center" wrapText="1"/>
    </xf>
    <xf numFmtId="0" fontId="3" fillId="10" borderId="42" xfId="0" applyFont="1" applyFill="1" applyBorder="1" applyAlignment="1">
      <alignment horizontal="center"/>
    </xf>
    <xf numFmtId="0" fontId="3" fillId="10" borderId="39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/>
    </xf>
    <xf numFmtId="0" fontId="3" fillId="10" borderId="40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/>
    </xf>
    <xf numFmtId="0" fontId="0" fillId="9" borderId="46" xfId="0" applyFill="1" applyBorder="1" applyAlignment="1">
      <alignment horizontal="center" vertical="center"/>
    </xf>
    <xf numFmtId="0" fontId="3" fillId="9" borderId="42" xfId="0" applyFont="1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3" fillId="9" borderId="43" xfId="0" applyFont="1" applyFill="1" applyBorder="1" applyAlignment="1">
      <alignment horizontal="center" vertical="center"/>
    </xf>
    <xf numFmtId="0" fontId="3" fillId="9" borderId="44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4" fillId="18" borderId="37" xfId="0" applyFont="1" applyFill="1" applyBorder="1" applyAlignment="1">
      <alignment horizontal="center" vertical="center"/>
    </xf>
    <xf numFmtId="0" fontId="7" fillId="20" borderId="1" xfId="0" applyFont="1" applyFill="1" applyBorder="1" applyAlignment="1">
      <alignment horizontal="center"/>
    </xf>
    <xf numFmtId="0" fontId="7" fillId="20" borderId="2" xfId="0" applyFont="1" applyFill="1" applyBorder="1" applyAlignment="1">
      <alignment horizontal="center"/>
    </xf>
    <xf numFmtId="0" fontId="7" fillId="20" borderId="37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4" borderId="37" xfId="0" applyFont="1" applyFill="1" applyBorder="1" applyAlignment="1">
      <alignment horizontal="center" vertical="center"/>
    </xf>
    <xf numFmtId="0" fontId="3" fillId="14" borderId="38" xfId="0" applyFont="1" applyFill="1" applyBorder="1" applyAlignment="1">
      <alignment horizontal="center" vertical="center"/>
    </xf>
    <xf numFmtId="0" fontId="3" fillId="14" borderId="40" xfId="0" applyFont="1" applyFill="1" applyBorder="1" applyAlignment="1">
      <alignment horizontal="center" vertical="center"/>
    </xf>
    <xf numFmtId="0" fontId="3" fillId="21" borderId="37" xfId="0" applyFont="1" applyFill="1" applyBorder="1" applyAlignment="1">
      <alignment horizontal="left" vertical="center"/>
    </xf>
    <xf numFmtId="0" fontId="3" fillId="14" borderId="1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left" vertical="center"/>
    </xf>
    <xf numFmtId="0" fontId="3" fillId="21" borderId="2" xfId="0" applyFont="1" applyFill="1" applyBorder="1" applyAlignment="1">
      <alignment horizontal="left" vertical="center"/>
    </xf>
    <xf numFmtId="0" fontId="3" fillId="14" borderId="39" xfId="0" applyFont="1" applyFill="1" applyBorder="1" applyAlignment="1">
      <alignment horizontal="center" vertical="center"/>
    </xf>
    <xf numFmtId="0" fontId="0" fillId="7" borderId="37" xfId="0" applyFill="1" applyBorder="1" applyAlignment="1">
      <alignment horizontal="center" vertical="center"/>
    </xf>
    <xf numFmtId="0" fontId="0" fillId="7" borderId="41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42" xfId="0" applyFill="1" applyBorder="1" applyAlignment="1">
      <alignment horizontal="center" vertical="center"/>
    </xf>
    <xf numFmtId="0" fontId="0" fillId="7" borderId="44" xfId="0" applyFill="1" applyBorder="1" applyAlignment="1">
      <alignment horizontal="center" vertical="center"/>
    </xf>
    <xf numFmtId="0" fontId="0" fillId="19" borderId="45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/>
    </xf>
    <xf numFmtId="0" fontId="7" fillId="16" borderId="27" xfId="0" applyFont="1" applyFill="1" applyBorder="1" applyAlignment="1">
      <alignment horizontal="center" vertical="center"/>
    </xf>
    <xf numFmtId="0" fontId="7" fillId="16" borderId="28" xfId="0" applyFont="1" applyFill="1" applyBorder="1" applyAlignment="1">
      <alignment horizontal="center" vertical="center"/>
    </xf>
    <xf numFmtId="0" fontId="7" fillId="16" borderId="29" xfId="0" applyFont="1" applyFill="1" applyBorder="1" applyAlignment="1">
      <alignment horizontal="center" vertical="center"/>
    </xf>
    <xf numFmtId="0" fontId="7" fillId="16" borderId="37" xfId="0" applyFont="1" applyFill="1" applyBorder="1"/>
    <xf numFmtId="0" fontId="9" fillId="0" borderId="0" xfId="0" applyFont="1" applyAlignment="1">
      <alignment horizontal="center" vertical="center"/>
    </xf>
    <xf numFmtId="0" fontId="10" fillId="0" borderId="0" xfId="0" applyFont="1"/>
    <xf numFmtId="0" fontId="1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561976</xdr:colOff>
      <xdr:row>0</xdr:row>
      <xdr:rowOff>0</xdr:rowOff>
    </xdr:from>
    <xdr:to>
      <xdr:col>10</xdr:col>
      <xdr:colOff>161926</xdr:colOff>
      <xdr:row>15</xdr:row>
      <xdr:rowOff>10580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877D09-06A5-DB7B-5128-B78A6F5F6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71976" y="0"/>
          <a:ext cx="3409950" cy="28680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0</xdr:row>
      <xdr:rowOff>38100</xdr:rowOff>
    </xdr:from>
    <xdr:to>
      <xdr:col>3</xdr:col>
      <xdr:colOff>638175</xdr:colOff>
      <xdr:row>3</xdr:row>
      <xdr:rowOff>127214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2057400" cy="679664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476250</xdr:colOff>
      <xdr:row>0</xdr:row>
      <xdr:rowOff>0</xdr:rowOff>
    </xdr:from>
    <xdr:to>
      <xdr:col>13</xdr:col>
      <xdr:colOff>285750</xdr:colOff>
      <xdr:row>3</xdr:row>
      <xdr:rowOff>27145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0"/>
          <a:ext cx="571500" cy="6176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38100</xdr:rowOff>
    </xdr:from>
    <xdr:to>
      <xdr:col>2</xdr:col>
      <xdr:colOff>638175</xdr:colOff>
      <xdr:row>3</xdr:row>
      <xdr:rowOff>127214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2057400" cy="679664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476250</xdr:colOff>
      <xdr:row>0</xdr:row>
      <xdr:rowOff>0</xdr:rowOff>
    </xdr:from>
    <xdr:to>
      <xdr:col>12</xdr:col>
      <xdr:colOff>285750</xdr:colOff>
      <xdr:row>3</xdr:row>
      <xdr:rowOff>27145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0"/>
          <a:ext cx="571500" cy="6176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</xdr:row>
          <xdr:rowOff>123825</xdr:rowOff>
        </xdr:from>
        <xdr:to>
          <xdr:col>5</xdr:col>
          <xdr:colOff>704850</xdr:colOff>
          <xdr:row>5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4</xdr:row>
          <xdr:rowOff>123825</xdr:rowOff>
        </xdr:from>
        <xdr:to>
          <xdr:col>9</xdr:col>
          <xdr:colOff>638175</xdr:colOff>
          <xdr:row>5</xdr:row>
          <xdr:rowOff>171450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38100</xdr:rowOff>
    </xdr:from>
    <xdr:to>
      <xdr:col>2</xdr:col>
      <xdr:colOff>638175</xdr:colOff>
      <xdr:row>3</xdr:row>
      <xdr:rowOff>127214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2057400" cy="679664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476250</xdr:colOff>
      <xdr:row>0</xdr:row>
      <xdr:rowOff>0</xdr:rowOff>
    </xdr:from>
    <xdr:to>
      <xdr:col>12</xdr:col>
      <xdr:colOff>285750</xdr:colOff>
      <xdr:row>3</xdr:row>
      <xdr:rowOff>27145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0"/>
          <a:ext cx="571500" cy="61769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38100</xdr:rowOff>
    </xdr:from>
    <xdr:to>
      <xdr:col>2</xdr:col>
      <xdr:colOff>638175</xdr:colOff>
      <xdr:row>3</xdr:row>
      <xdr:rowOff>127214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2057400" cy="679664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476250</xdr:colOff>
      <xdr:row>0</xdr:row>
      <xdr:rowOff>0</xdr:rowOff>
    </xdr:from>
    <xdr:to>
      <xdr:col>12</xdr:col>
      <xdr:colOff>285750</xdr:colOff>
      <xdr:row>3</xdr:row>
      <xdr:rowOff>27145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0"/>
          <a:ext cx="571500" cy="6176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4</xdr:row>
          <xdr:rowOff>133350</xdr:rowOff>
        </xdr:from>
        <xdr:to>
          <xdr:col>6</xdr:col>
          <xdr:colOff>0</xdr:colOff>
          <xdr:row>5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4</xdr:row>
          <xdr:rowOff>142875</xdr:rowOff>
        </xdr:from>
        <xdr:to>
          <xdr:col>9</xdr:col>
          <xdr:colOff>428625</xdr:colOff>
          <xdr:row>5</xdr:row>
          <xdr:rowOff>180975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38100</xdr:rowOff>
    </xdr:from>
    <xdr:to>
      <xdr:col>2</xdr:col>
      <xdr:colOff>638175</xdr:colOff>
      <xdr:row>3</xdr:row>
      <xdr:rowOff>127214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2057400" cy="679664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476250</xdr:colOff>
      <xdr:row>0</xdr:row>
      <xdr:rowOff>0</xdr:rowOff>
    </xdr:from>
    <xdr:to>
      <xdr:col>12</xdr:col>
      <xdr:colOff>202407</xdr:colOff>
      <xdr:row>3</xdr:row>
      <xdr:rowOff>27145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0"/>
          <a:ext cx="571500" cy="617695"/>
        </a:xfrm>
        <a:prstGeom prst="rect">
          <a:avLst/>
        </a:prstGeom>
      </xdr:spPr>
    </xdr:pic>
    <xdr:clientData/>
  </xdr:twoCellAnchor>
  <xdr:twoCellAnchor editAs="oneCell">
    <xdr:from>
      <xdr:col>3</xdr:col>
      <xdr:colOff>797983</xdr:colOff>
      <xdr:row>7</xdr:row>
      <xdr:rowOff>103717</xdr:rowOff>
    </xdr:from>
    <xdr:to>
      <xdr:col>8</xdr:col>
      <xdr:colOff>259733</xdr:colOff>
      <xdr:row>15</xdr:row>
      <xdr:rowOff>189442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E8B92E47-C810-7DF4-6532-F4FD4C163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3983" y="1468967"/>
          <a:ext cx="3345833" cy="1694392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20</xdr:row>
      <xdr:rowOff>0</xdr:rowOff>
    </xdr:from>
    <xdr:to>
      <xdr:col>8</xdr:col>
      <xdr:colOff>649817</xdr:colOff>
      <xdr:row>27</xdr:row>
      <xdr:rowOff>13607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D706677-BFB6-66FA-C1F5-C3DC6A0D3BF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8380"/>
        <a:stretch/>
      </xdr:blipFill>
      <xdr:spPr>
        <a:xfrm>
          <a:off x="238125" y="3833813"/>
          <a:ext cx="6579130" cy="1347107"/>
        </a:xfrm>
        <a:prstGeom prst="rect">
          <a:avLst/>
        </a:prstGeom>
      </xdr:spPr>
    </xdr:pic>
    <xdr:clientData/>
  </xdr:twoCellAnchor>
  <xdr:twoCellAnchor editAs="oneCell">
    <xdr:from>
      <xdr:col>9</xdr:col>
      <xdr:colOff>85046</xdr:colOff>
      <xdr:row>19</xdr:row>
      <xdr:rowOff>166686</xdr:rowOff>
    </xdr:from>
    <xdr:to>
      <xdr:col>17</xdr:col>
      <xdr:colOff>402182</xdr:colOff>
      <xdr:row>26</xdr:row>
      <xdr:rowOff>44223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942609C2-0FA4-B356-B437-3C2E1A6759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2986" b="-1"/>
        <a:stretch/>
      </xdr:blipFill>
      <xdr:spPr>
        <a:xfrm>
          <a:off x="7014484" y="3809999"/>
          <a:ext cx="6508386" cy="12110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38100</xdr:rowOff>
    </xdr:from>
    <xdr:to>
      <xdr:col>2</xdr:col>
      <xdr:colOff>638175</xdr:colOff>
      <xdr:row>3</xdr:row>
      <xdr:rowOff>127214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71FF7D1-E2D2-4B78-9CB9-984C88CA7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2057400" cy="679664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476250</xdr:colOff>
      <xdr:row>0</xdr:row>
      <xdr:rowOff>0</xdr:rowOff>
    </xdr:from>
    <xdr:to>
      <xdr:col>12</xdr:col>
      <xdr:colOff>285750</xdr:colOff>
      <xdr:row>3</xdr:row>
      <xdr:rowOff>27145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665982C-4E67-4992-B30A-93A56AC5F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0"/>
          <a:ext cx="571500" cy="6176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123825</xdr:rowOff>
        </xdr:from>
        <xdr:to>
          <xdr:col>5</xdr:col>
          <xdr:colOff>685800</xdr:colOff>
          <xdr:row>5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133350</xdr:rowOff>
        </xdr:from>
        <xdr:to>
          <xdr:col>9</xdr:col>
          <xdr:colOff>609600</xdr:colOff>
          <xdr:row>5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D5787-CE0F-4DC4-B965-B1270885882E}">
  <sheetPr codeName="Hoja4"/>
  <dimension ref="D16:M21"/>
  <sheetViews>
    <sheetView showGridLines="0" tabSelected="1" workbookViewId="0">
      <selection activeCell="Q5" sqref="Q5"/>
    </sheetView>
  </sheetViews>
  <sheetFormatPr baseColWidth="10" defaultRowHeight="15" x14ac:dyDescent="0.25"/>
  <sheetData>
    <row r="16" spans="5:12" x14ac:dyDescent="0.25">
      <c r="E16" s="191" t="s">
        <v>164</v>
      </c>
      <c r="F16" s="191"/>
      <c r="G16" s="191"/>
      <c r="H16" s="191"/>
      <c r="I16" s="191"/>
      <c r="J16" s="191"/>
      <c r="K16" s="191"/>
      <c r="L16" s="191"/>
    </row>
    <row r="17" spans="4:13" x14ac:dyDescent="0.25">
      <c r="E17" s="191"/>
      <c r="F17" s="191"/>
      <c r="G17" s="191"/>
      <c r="H17" s="191"/>
      <c r="I17" s="191"/>
      <c r="J17" s="191"/>
      <c r="K17" s="191"/>
      <c r="L17" s="191"/>
    </row>
    <row r="19" spans="4:13" x14ac:dyDescent="0.25">
      <c r="D19" s="193" t="s">
        <v>159</v>
      </c>
      <c r="H19" s="193" t="s">
        <v>161</v>
      </c>
    </row>
    <row r="21" spans="4:13" x14ac:dyDescent="0.25">
      <c r="D21" s="135" t="s">
        <v>160</v>
      </c>
      <c r="E21" s="135"/>
      <c r="H21" s="192" t="s">
        <v>162</v>
      </c>
      <c r="M21" s="135" t="s">
        <v>163</v>
      </c>
    </row>
  </sheetData>
  <mergeCells count="1">
    <mergeCell ref="E16:L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41F75-BF12-4240-B931-54A82786E68C}">
  <sheetPr codeName="Hoja1"/>
  <dimension ref="A1:R23"/>
  <sheetViews>
    <sheetView showGridLines="0" zoomScaleNormal="100" workbookViewId="0">
      <pane ySplit="4" topLeftCell="A5" activePane="bottomLeft" state="frozen"/>
      <selection pane="bottomLeft" activeCell="F7" sqref="F7"/>
    </sheetView>
  </sheetViews>
  <sheetFormatPr baseColWidth="10" defaultRowHeight="15" x14ac:dyDescent="0.25"/>
  <cols>
    <col min="1" max="1" width="3.28515625" customWidth="1"/>
    <col min="3" max="3" width="11.42578125" customWidth="1"/>
  </cols>
  <sheetData>
    <row r="1" spans="1:18" ht="15" customHeight="1" x14ac:dyDescent="0.25">
      <c r="A1" s="63"/>
      <c r="B1" s="64"/>
      <c r="C1" s="64"/>
      <c r="D1" s="65"/>
      <c r="E1" s="95" t="s">
        <v>1</v>
      </c>
      <c r="F1" s="96"/>
      <c r="G1" s="96"/>
      <c r="H1" s="96"/>
      <c r="I1" s="96"/>
      <c r="J1" s="96"/>
      <c r="K1" s="96"/>
      <c r="L1" s="97"/>
      <c r="M1" s="107"/>
      <c r="N1" s="108"/>
      <c r="O1" s="27" t="s">
        <v>30</v>
      </c>
      <c r="P1" s="28"/>
      <c r="Q1" s="29"/>
      <c r="R1" s="18"/>
    </row>
    <row r="2" spans="1:18" ht="15.75" thickBot="1" x14ac:dyDescent="0.3">
      <c r="A2" s="66"/>
      <c r="B2" s="67"/>
      <c r="C2" s="67"/>
      <c r="D2" s="68"/>
      <c r="E2" s="98"/>
      <c r="F2" s="99"/>
      <c r="G2" s="99"/>
      <c r="H2" s="99"/>
      <c r="I2" s="99"/>
      <c r="J2" s="99"/>
      <c r="K2" s="99"/>
      <c r="L2" s="100"/>
      <c r="M2" s="109"/>
      <c r="N2" s="110"/>
      <c r="O2" s="30"/>
      <c r="P2" s="31"/>
      <c r="Q2" s="32"/>
      <c r="R2" s="18"/>
    </row>
    <row r="3" spans="1:18" ht="15.75" thickBot="1" x14ac:dyDescent="0.3">
      <c r="A3" s="66"/>
      <c r="B3" s="67"/>
      <c r="C3" s="67"/>
      <c r="D3" s="68"/>
      <c r="E3" s="101" t="s">
        <v>2</v>
      </c>
      <c r="F3" s="102"/>
      <c r="G3" s="102"/>
      <c r="H3" s="102"/>
      <c r="I3" s="102"/>
      <c r="J3" s="102"/>
      <c r="K3" s="102"/>
      <c r="L3" s="103"/>
      <c r="M3" s="111"/>
      <c r="N3" s="112"/>
      <c r="O3" s="30"/>
      <c r="P3" s="31"/>
      <c r="Q3" s="32"/>
      <c r="R3" s="18"/>
    </row>
    <row r="4" spans="1:18" ht="15.75" thickBot="1" x14ac:dyDescent="0.3">
      <c r="A4" s="69"/>
      <c r="B4" s="70"/>
      <c r="C4" s="70"/>
      <c r="D4" s="71"/>
      <c r="E4" s="104"/>
      <c r="F4" s="105"/>
      <c r="G4" s="105"/>
      <c r="H4" s="105"/>
      <c r="I4" s="105"/>
      <c r="J4" s="105"/>
      <c r="K4" s="105"/>
      <c r="L4" s="106"/>
      <c r="M4" s="113" t="s">
        <v>0</v>
      </c>
      <c r="N4" s="114"/>
      <c r="O4" s="33"/>
      <c r="P4" s="34"/>
      <c r="Q4" s="35"/>
      <c r="R4" s="18"/>
    </row>
    <row r="5" spans="1:18" x14ac:dyDescent="0.25">
      <c r="B5" s="1"/>
      <c r="C5" s="1"/>
      <c r="D5" s="1"/>
      <c r="E5" s="13"/>
      <c r="F5" s="13"/>
      <c r="G5" s="13"/>
      <c r="H5" s="13"/>
      <c r="I5" s="13"/>
      <c r="J5" s="13"/>
      <c r="K5" s="13"/>
      <c r="L5" s="13"/>
      <c r="M5" s="14"/>
      <c r="N5" s="14"/>
    </row>
    <row r="6" spans="1:18" ht="15.75" thickBot="1" x14ac:dyDescent="0.3"/>
    <row r="7" spans="1:18" ht="16.5" thickBot="1" x14ac:dyDescent="0.3">
      <c r="B7" s="74" t="s">
        <v>9</v>
      </c>
      <c r="C7" s="75"/>
      <c r="D7" s="75"/>
      <c r="E7" s="76"/>
      <c r="G7" s="79" t="s">
        <v>19</v>
      </c>
      <c r="H7" s="80"/>
      <c r="I7" s="80"/>
      <c r="J7" s="81"/>
      <c r="L7" s="53" t="s">
        <v>23</v>
      </c>
      <c r="M7" s="54"/>
      <c r="N7" s="54"/>
      <c r="O7" s="55"/>
    </row>
    <row r="8" spans="1:18" x14ac:dyDescent="0.25">
      <c r="B8" s="82" t="s">
        <v>3</v>
      </c>
      <c r="C8" s="83"/>
      <c r="D8" s="84"/>
      <c r="E8" s="3"/>
      <c r="G8" s="77" t="s">
        <v>10</v>
      </c>
      <c r="H8" s="78"/>
      <c r="I8" s="78"/>
      <c r="J8" s="6"/>
      <c r="L8" s="47" t="s">
        <v>20</v>
      </c>
      <c r="M8" s="48"/>
      <c r="N8" s="48"/>
      <c r="O8" s="9"/>
    </row>
    <row r="9" spans="1:18" x14ac:dyDescent="0.25">
      <c r="B9" s="85" t="s">
        <v>5</v>
      </c>
      <c r="C9" s="86"/>
      <c r="D9" s="87"/>
      <c r="E9" s="4"/>
      <c r="G9" s="61" t="s">
        <v>11</v>
      </c>
      <c r="H9" s="62"/>
      <c r="I9" s="62"/>
      <c r="J9" s="7"/>
      <c r="L9" s="49" t="s">
        <v>21</v>
      </c>
      <c r="M9" s="50"/>
      <c r="N9" s="50"/>
      <c r="O9" s="10"/>
    </row>
    <row r="10" spans="1:18" ht="15.75" thickBot="1" x14ac:dyDescent="0.3">
      <c r="B10" s="85" t="s">
        <v>4</v>
      </c>
      <c r="C10" s="86"/>
      <c r="D10" s="87"/>
      <c r="E10" s="4"/>
      <c r="G10" s="61" t="s">
        <v>12</v>
      </c>
      <c r="H10" s="62"/>
      <c r="I10" s="62"/>
      <c r="J10" s="7"/>
      <c r="L10" s="51" t="s">
        <v>22</v>
      </c>
      <c r="M10" s="52"/>
      <c r="N10" s="52"/>
      <c r="O10" s="11"/>
    </row>
    <row r="11" spans="1:18" ht="15" customHeight="1" x14ac:dyDescent="0.25">
      <c r="B11" s="88" t="s">
        <v>6</v>
      </c>
      <c r="C11" s="89"/>
      <c r="D11" s="90"/>
      <c r="E11" s="4"/>
      <c r="G11" s="61" t="s">
        <v>13</v>
      </c>
      <c r="H11" s="62"/>
      <c r="I11" s="62"/>
      <c r="J11" s="7"/>
    </row>
    <row r="12" spans="1:18" ht="15.75" thickBot="1" x14ac:dyDescent="0.3">
      <c r="B12" s="85" t="s">
        <v>7</v>
      </c>
      <c r="C12" s="86"/>
      <c r="D12" s="87"/>
      <c r="E12" s="4"/>
      <c r="G12" s="61" t="s">
        <v>14</v>
      </c>
      <c r="H12" s="62"/>
      <c r="I12" s="62"/>
      <c r="J12" s="7"/>
    </row>
    <row r="13" spans="1:18" ht="16.5" thickBot="1" x14ac:dyDescent="0.3">
      <c r="B13" s="91" t="s">
        <v>8</v>
      </c>
      <c r="C13" s="92"/>
      <c r="D13" s="92"/>
      <c r="E13" s="5"/>
      <c r="G13" s="61" t="s">
        <v>15</v>
      </c>
      <c r="H13" s="62"/>
      <c r="I13" s="62"/>
      <c r="J13" s="7"/>
      <c r="L13" s="58" t="s">
        <v>24</v>
      </c>
      <c r="M13" s="59"/>
      <c r="N13" s="59"/>
      <c r="O13" s="60"/>
    </row>
    <row r="14" spans="1:18" x14ac:dyDescent="0.25">
      <c r="B14" s="2"/>
      <c r="C14" s="2"/>
      <c r="G14" s="61" t="s">
        <v>17</v>
      </c>
      <c r="H14" s="62"/>
      <c r="I14" s="62"/>
      <c r="J14" s="7"/>
      <c r="L14" s="56" t="s">
        <v>25</v>
      </c>
      <c r="M14" s="57"/>
      <c r="N14" s="57"/>
      <c r="O14" s="22"/>
    </row>
    <row r="15" spans="1:18" x14ac:dyDescent="0.25">
      <c r="B15" s="2"/>
      <c r="C15" s="2"/>
      <c r="G15" s="61" t="s">
        <v>16</v>
      </c>
      <c r="H15" s="62"/>
      <c r="I15" s="62"/>
      <c r="J15" s="7"/>
      <c r="L15" s="45" t="s">
        <v>58</v>
      </c>
      <c r="M15" s="46"/>
      <c r="N15" s="46"/>
      <c r="O15" s="23"/>
    </row>
    <row r="16" spans="1:18" ht="15.75" thickBot="1" x14ac:dyDescent="0.3">
      <c r="B16" s="2"/>
      <c r="C16" s="2"/>
      <c r="G16" s="72" t="s">
        <v>18</v>
      </c>
      <c r="H16" s="73"/>
      <c r="I16" s="73"/>
      <c r="J16" s="8"/>
      <c r="L16" s="93" t="s">
        <v>59</v>
      </c>
      <c r="M16" s="94"/>
      <c r="N16" s="94"/>
      <c r="O16" s="12"/>
    </row>
    <row r="18" spans="2:16" ht="15.75" thickBot="1" x14ac:dyDescent="0.3"/>
    <row r="19" spans="2:16" ht="15.75" thickBot="1" x14ac:dyDescent="0.3">
      <c r="B19" s="42"/>
      <c r="C19" s="43"/>
      <c r="D19" s="44"/>
      <c r="E19" s="15">
        <v>1</v>
      </c>
      <c r="F19" s="16">
        <v>2</v>
      </c>
      <c r="G19" s="16">
        <v>3</v>
      </c>
      <c r="H19" s="16">
        <v>4</v>
      </c>
      <c r="I19" s="16">
        <v>5</v>
      </c>
      <c r="J19" s="16">
        <v>6</v>
      </c>
      <c r="K19" s="16">
        <v>7</v>
      </c>
      <c r="L19" s="16">
        <v>8</v>
      </c>
      <c r="M19" s="16">
        <v>9</v>
      </c>
      <c r="N19" s="16">
        <v>10</v>
      </c>
      <c r="O19" s="16">
        <v>11</v>
      </c>
      <c r="P19" s="17">
        <v>12</v>
      </c>
    </row>
    <row r="20" spans="2:16" x14ac:dyDescent="0.25">
      <c r="B20" s="36" t="s">
        <v>29</v>
      </c>
      <c r="C20" s="37"/>
      <c r="D20" s="38"/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2:16" x14ac:dyDescent="0.25">
      <c r="B21" s="36" t="s">
        <v>28</v>
      </c>
      <c r="C21" s="37"/>
      <c r="D21" s="38"/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2:16" x14ac:dyDescent="0.25">
      <c r="B22" s="36" t="s">
        <v>27</v>
      </c>
      <c r="C22" s="37"/>
      <c r="D22" s="38"/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2:16" ht="15.75" thickBot="1" x14ac:dyDescent="0.3">
      <c r="B23" s="39" t="s">
        <v>26</v>
      </c>
      <c r="C23" s="40"/>
      <c r="D23" s="41"/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</sheetData>
  <mergeCells count="36">
    <mergeCell ref="L16:N16"/>
    <mergeCell ref="E1:L2"/>
    <mergeCell ref="E3:L4"/>
    <mergeCell ref="M1:N3"/>
    <mergeCell ref="M4:N4"/>
    <mergeCell ref="A1:D4"/>
    <mergeCell ref="G15:I15"/>
    <mergeCell ref="G16:I16"/>
    <mergeCell ref="B7:E7"/>
    <mergeCell ref="G8:I8"/>
    <mergeCell ref="G9:I9"/>
    <mergeCell ref="G10:I10"/>
    <mergeCell ref="G11:I11"/>
    <mergeCell ref="G7:J7"/>
    <mergeCell ref="B8:D8"/>
    <mergeCell ref="B9:D9"/>
    <mergeCell ref="B10:D10"/>
    <mergeCell ref="B11:D11"/>
    <mergeCell ref="B12:D12"/>
    <mergeCell ref="B13:D13"/>
    <mergeCell ref="O1:Q4"/>
    <mergeCell ref="B20:D20"/>
    <mergeCell ref="B21:D21"/>
    <mergeCell ref="B22:D22"/>
    <mergeCell ref="B23:D23"/>
    <mergeCell ref="B19:D19"/>
    <mergeCell ref="L15:N15"/>
    <mergeCell ref="L8:N8"/>
    <mergeCell ref="L9:N9"/>
    <mergeCell ref="L10:N10"/>
    <mergeCell ref="L7:O7"/>
    <mergeCell ref="L14:N14"/>
    <mergeCell ref="L13:O13"/>
    <mergeCell ref="G12:I12"/>
    <mergeCell ref="G13:I13"/>
    <mergeCell ref="G14:I14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5E6E-76D3-4A0C-AAE2-57A12E4013F0}">
  <sheetPr codeName="Hoja2"/>
  <dimension ref="A1:P92"/>
  <sheetViews>
    <sheetView showGridLines="0" zoomScaleNormal="100" workbookViewId="0">
      <pane ySplit="4" topLeftCell="A5" activePane="bottomLeft" state="frozen"/>
      <selection pane="bottomLeft" activeCell="N12" sqref="N12"/>
    </sheetView>
  </sheetViews>
  <sheetFormatPr baseColWidth="10" defaultRowHeight="15" x14ac:dyDescent="0.25"/>
  <sheetData>
    <row r="1" spans="1:16" x14ac:dyDescent="0.25">
      <c r="A1" s="107"/>
      <c r="B1" s="119"/>
      <c r="C1" s="108"/>
      <c r="D1" s="95" t="s">
        <v>1</v>
      </c>
      <c r="E1" s="96"/>
      <c r="F1" s="96"/>
      <c r="G1" s="96"/>
      <c r="H1" s="96"/>
      <c r="I1" s="96"/>
      <c r="J1" s="96"/>
      <c r="K1" s="97"/>
      <c r="L1" s="107"/>
      <c r="M1" s="108"/>
      <c r="N1" s="27" t="s">
        <v>34</v>
      </c>
      <c r="O1" s="28"/>
      <c r="P1" s="29"/>
    </row>
    <row r="2" spans="1:16" ht="15.75" thickBot="1" x14ac:dyDescent="0.3">
      <c r="A2" s="109"/>
      <c r="B2" s="120"/>
      <c r="C2" s="110"/>
      <c r="D2" s="98"/>
      <c r="E2" s="99"/>
      <c r="F2" s="99"/>
      <c r="G2" s="99"/>
      <c r="H2" s="99"/>
      <c r="I2" s="99"/>
      <c r="J2" s="99"/>
      <c r="K2" s="100"/>
      <c r="L2" s="109"/>
      <c r="M2" s="110"/>
      <c r="N2" s="30"/>
      <c r="O2" s="31"/>
      <c r="P2" s="32"/>
    </row>
    <row r="3" spans="1:16" ht="15.75" thickBot="1" x14ac:dyDescent="0.3">
      <c r="A3" s="109"/>
      <c r="B3" s="120"/>
      <c r="C3" s="110"/>
      <c r="D3" s="101" t="s">
        <v>2</v>
      </c>
      <c r="E3" s="102"/>
      <c r="F3" s="102"/>
      <c r="G3" s="102"/>
      <c r="H3" s="102"/>
      <c r="I3" s="102"/>
      <c r="J3" s="102"/>
      <c r="K3" s="103"/>
      <c r="L3" s="111"/>
      <c r="M3" s="112"/>
      <c r="N3" s="30"/>
      <c r="O3" s="31"/>
      <c r="P3" s="32"/>
    </row>
    <row r="4" spans="1:16" ht="15.75" thickBot="1" x14ac:dyDescent="0.3">
      <c r="A4" s="111"/>
      <c r="B4" s="121"/>
      <c r="C4" s="112"/>
      <c r="D4" s="104"/>
      <c r="E4" s="105"/>
      <c r="F4" s="105"/>
      <c r="G4" s="105"/>
      <c r="H4" s="105"/>
      <c r="I4" s="105"/>
      <c r="J4" s="105"/>
      <c r="K4" s="106"/>
      <c r="L4" s="113" t="s">
        <v>0</v>
      </c>
      <c r="M4" s="114"/>
      <c r="N4" s="33"/>
      <c r="O4" s="34"/>
      <c r="P4" s="35"/>
    </row>
    <row r="8" spans="1:16" ht="15.75" thickBot="1" x14ac:dyDescent="0.3">
      <c r="B8" s="135" t="s">
        <v>106</v>
      </c>
    </row>
    <row r="9" spans="1:16" ht="15" customHeight="1" thickBot="1" x14ac:dyDescent="0.3">
      <c r="F9" s="24" t="s">
        <v>33</v>
      </c>
      <c r="G9" s="25" t="s">
        <v>54</v>
      </c>
      <c r="H9" s="25" t="s">
        <v>55</v>
      </c>
      <c r="I9" s="26" t="s">
        <v>60</v>
      </c>
    </row>
    <row r="10" spans="1:16" ht="15" customHeight="1" x14ac:dyDescent="0.25">
      <c r="D10" s="130" t="s">
        <v>31</v>
      </c>
      <c r="E10" s="131"/>
    </row>
    <row r="11" spans="1:16" ht="15.75" thickBot="1" x14ac:dyDescent="0.3">
      <c r="D11" s="128" t="s">
        <v>32</v>
      </c>
      <c r="E11" s="129"/>
    </row>
    <row r="14" spans="1:16" x14ac:dyDescent="0.25">
      <c r="B14" s="135" t="s">
        <v>107</v>
      </c>
    </row>
    <row r="15" spans="1:16" ht="15.75" thickBot="1" x14ac:dyDescent="0.3"/>
    <row r="16" spans="1:16" ht="15.75" thickBot="1" x14ac:dyDescent="0.3">
      <c r="B16" s="122" t="s">
        <v>51</v>
      </c>
      <c r="C16" s="123"/>
      <c r="D16" s="19">
        <v>1</v>
      </c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1"/>
    </row>
    <row r="17" spans="2:3" x14ac:dyDescent="0.25">
      <c r="B17" s="126" t="s">
        <v>35</v>
      </c>
      <c r="C17" s="127"/>
    </row>
    <row r="18" spans="2:3" x14ac:dyDescent="0.25">
      <c r="B18" s="115" t="s">
        <v>36</v>
      </c>
      <c r="C18" s="116"/>
    </row>
    <row r="19" spans="2:3" x14ac:dyDescent="0.25">
      <c r="B19" s="117" t="s">
        <v>37</v>
      </c>
      <c r="C19" s="118"/>
    </row>
    <row r="20" spans="2:3" x14ac:dyDescent="0.25">
      <c r="B20" s="117" t="s">
        <v>38</v>
      </c>
      <c r="C20" s="118"/>
    </row>
    <row r="21" spans="2:3" x14ac:dyDescent="0.25">
      <c r="B21" s="117" t="s">
        <v>39</v>
      </c>
      <c r="C21" s="118"/>
    </row>
    <row r="22" spans="2:3" x14ac:dyDescent="0.25">
      <c r="B22" s="117" t="s">
        <v>40</v>
      </c>
      <c r="C22" s="118"/>
    </row>
    <row r="23" spans="2:3" x14ac:dyDescent="0.25">
      <c r="B23" s="117" t="s">
        <v>41</v>
      </c>
      <c r="C23" s="118"/>
    </row>
    <row r="24" spans="2:3" x14ac:dyDescent="0.25">
      <c r="B24" s="117" t="s">
        <v>42</v>
      </c>
      <c r="C24" s="118"/>
    </row>
    <row r="25" spans="2:3" x14ac:dyDescent="0.25">
      <c r="B25" s="117" t="s">
        <v>43</v>
      </c>
      <c r="C25" s="118"/>
    </row>
    <row r="26" spans="2:3" x14ac:dyDescent="0.25">
      <c r="B26" s="117" t="s">
        <v>44</v>
      </c>
      <c r="C26" s="118"/>
    </row>
    <row r="27" spans="2:3" x14ac:dyDescent="0.25">
      <c r="B27" s="117" t="s">
        <v>45</v>
      </c>
      <c r="C27" s="118"/>
    </row>
    <row r="28" spans="2:3" x14ac:dyDescent="0.25">
      <c r="B28" s="117" t="s">
        <v>46</v>
      </c>
      <c r="C28" s="118"/>
    </row>
    <row r="29" spans="2:3" x14ac:dyDescent="0.25">
      <c r="B29" s="117" t="s">
        <v>47</v>
      </c>
      <c r="C29" s="118"/>
    </row>
    <row r="30" spans="2:3" x14ac:dyDescent="0.25">
      <c r="B30" s="117" t="s">
        <v>48</v>
      </c>
      <c r="C30" s="118"/>
    </row>
    <row r="31" spans="2:3" x14ac:dyDescent="0.25">
      <c r="B31" s="117" t="s">
        <v>49</v>
      </c>
      <c r="C31" s="118"/>
    </row>
    <row r="32" spans="2:3" ht="15.75" thickBot="1" x14ac:dyDescent="0.3">
      <c r="B32" s="124" t="s">
        <v>50</v>
      </c>
      <c r="C32" s="125"/>
    </row>
    <row r="35" spans="2:15" ht="15.75" thickBot="1" x14ac:dyDescent="0.3"/>
    <row r="36" spans="2:15" ht="15.75" thickBot="1" x14ac:dyDescent="0.3">
      <c r="B36" s="122" t="s">
        <v>52</v>
      </c>
      <c r="C36" s="123"/>
      <c r="D36" s="19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1"/>
    </row>
    <row r="37" spans="2:15" x14ac:dyDescent="0.25">
      <c r="B37" s="126" t="s">
        <v>35</v>
      </c>
      <c r="C37" s="127"/>
    </row>
    <row r="38" spans="2:15" x14ac:dyDescent="0.25">
      <c r="B38" s="115" t="s">
        <v>36</v>
      </c>
      <c r="C38" s="116"/>
    </row>
    <row r="39" spans="2:15" x14ac:dyDescent="0.25">
      <c r="B39" s="117" t="s">
        <v>37</v>
      </c>
      <c r="C39" s="118"/>
    </row>
    <row r="40" spans="2:15" x14ac:dyDescent="0.25">
      <c r="B40" s="117" t="s">
        <v>38</v>
      </c>
      <c r="C40" s="118"/>
    </row>
    <row r="41" spans="2:15" x14ac:dyDescent="0.25">
      <c r="B41" s="117" t="s">
        <v>39</v>
      </c>
      <c r="C41" s="118"/>
    </row>
    <row r="42" spans="2:15" x14ac:dyDescent="0.25">
      <c r="B42" s="117" t="s">
        <v>40</v>
      </c>
      <c r="C42" s="118"/>
    </row>
    <row r="43" spans="2:15" x14ac:dyDescent="0.25">
      <c r="B43" s="117" t="s">
        <v>41</v>
      </c>
      <c r="C43" s="118"/>
    </row>
    <row r="44" spans="2:15" x14ac:dyDescent="0.25">
      <c r="B44" s="117" t="s">
        <v>42</v>
      </c>
      <c r="C44" s="118"/>
    </row>
    <row r="45" spans="2:15" x14ac:dyDescent="0.25">
      <c r="B45" s="117" t="s">
        <v>43</v>
      </c>
      <c r="C45" s="118"/>
    </row>
    <row r="46" spans="2:15" x14ac:dyDescent="0.25">
      <c r="B46" s="117" t="s">
        <v>44</v>
      </c>
      <c r="C46" s="118"/>
    </row>
    <row r="47" spans="2:15" x14ac:dyDescent="0.25">
      <c r="B47" s="117" t="s">
        <v>45</v>
      </c>
      <c r="C47" s="118"/>
    </row>
    <row r="48" spans="2:15" x14ac:dyDescent="0.25">
      <c r="B48" s="117" t="s">
        <v>46</v>
      </c>
      <c r="C48" s="118"/>
    </row>
    <row r="49" spans="2:15" x14ac:dyDescent="0.25">
      <c r="B49" s="117" t="s">
        <v>47</v>
      </c>
      <c r="C49" s="118"/>
    </row>
    <row r="50" spans="2:15" x14ac:dyDescent="0.25">
      <c r="B50" s="117" t="s">
        <v>48</v>
      </c>
      <c r="C50" s="118"/>
    </row>
    <row r="51" spans="2:15" x14ac:dyDescent="0.25">
      <c r="B51" s="117" t="s">
        <v>49</v>
      </c>
      <c r="C51" s="118"/>
    </row>
    <row r="52" spans="2:15" ht="15.75" thickBot="1" x14ac:dyDescent="0.3">
      <c r="B52" s="124" t="s">
        <v>50</v>
      </c>
      <c r="C52" s="125"/>
    </row>
    <row r="55" spans="2:15" ht="15.75" thickBot="1" x14ac:dyDescent="0.3"/>
    <row r="56" spans="2:15" ht="15.75" thickBot="1" x14ac:dyDescent="0.3">
      <c r="B56" s="122" t="s">
        <v>53</v>
      </c>
      <c r="C56" s="123"/>
      <c r="D56" s="19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1"/>
    </row>
    <row r="57" spans="2:15" x14ac:dyDescent="0.25">
      <c r="B57" s="126" t="s">
        <v>35</v>
      </c>
      <c r="C57" s="127"/>
    </row>
    <row r="58" spans="2:15" x14ac:dyDescent="0.25">
      <c r="B58" s="115" t="s">
        <v>36</v>
      </c>
      <c r="C58" s="116"/>
    </row>
    <row r="59" spans="2:15" x14ac:dyDescent="0.25">
      <c r="B59" s="117" t="s">
        <v>37</v>
      </c>
      <c r="C59" s="118"/>
    </row>
    <row r="60" spans="2:15" x14ac:dyDescent="0.25">
      <c r="B60" s="117" t="s">
        <v>38</v>
      </c>
      <c r="C60" s="118"/>
    </row>
    <row r="61" spans="2:15" x14ac:dyDescent="0.25">
      <c r="B61" s="117" t="s">
        <v>39</v>
      </c>
      <c r="C61" s="118"/>
    </row>
    <row r="62" spans="2:15" x14ac:dyDescent="0.25">
      <c r="B62" s="117" t="s">
        <v>40</v>
      </c>
      <c r="C62" s="118"/>
    </row>
    <row r="63" spans="2:15" x14ac:dyDescent="0.25">
      <c r="B63" s="117" t="s">
        <v>41</v>
      </c>
      <c r="C63" s="118"/>
    </row>
    <row r="64" spans="2:15" x14ac:dyDescent="0.25">
      <c r="B64" s="117" t="s">
        <v>42</v>
      </c>
      <c r="C64" s="118"/>
    </row>
    <row r="65" spans="2:15" x14ac:dyDescent="0.25">
      <c r="B65" s="117" t="s">
        <v>43</v>
      </c>
      <c r="C65" s="118"/>
    </row>
    <row r="66" spans="2:15" x14ac:dyDescent="0.25">
      <c r="B66" s="117" t="s">
        <v>44</v>
      </c>
      <c r="C66" s="118"/>
    </row>
    <row r="67" spans="2:15" x14ac:dyDescent="0.25">
      <c r="B67" s="117" t="s">
        <v>45</v>
      </c>
      <c r="C67" s="118"/>
    </row>
    <row r="68" spans="2:15" x14ac:dyDescent="0.25">
      <c r="B68" s="117" t="s">
        <v>46</v>
      </c>
      <c r="C68" s="118"/>
    </row>
    <row r="69" spans="2:15" x14ac:dyDescent="0.25">
      <c r="B69" s="117" t="s">
        <v>47</v>
      </c>
      <c r="C69" s="118"/>
    </row>
    <row r="70" spans="2:15" x14ac:dyDescent="0.25">
      <c r="B70" s="117" t="s">
        <v>48</v>
      </c>
      <c r="C70" s="118"/>
    </row>
    <row r="71" spans="2:15" x14ac:dyDescent="0.25">
      <c r="B71" s="117" t="s">
        <v>49</v>
      </c>
      <c r="C71" s="118"/>
    </row>
    <row r="72" spans="2:15" ht="15.75" thickBot="1" x14ac:dyDescent="0.3">
      <c r="B72" s="124" t="s">
        <v>50</v>
      </c>
      <c r="C72" s="125"/>
    </row>
    <row r="75" spans="2:15" ht="15.75" thickBot="1" x14ac:dyDescent="0.3"/>
    <row r="76" spans="2:15" ht="15.75" thickBot="1" x14ac:dyDescent="0.3">
      <c r="B76" s="122" t="s">
        <v>61</v>
      </c>
      <c r="C76" s="123"/>
      <c r="D76" s="19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</row>
    <row r="77" spans="2:15" x14ac:dyDescent="0.25">
      <c r="B77" s="126" t="s">
        <v>35</v>
      </c>
      <c r="C77" s="127"/>
    </row>
    <row r="78" spans="2:15" x14ac:dyDescent="0.25">
      <c r="B78" s="115" t="s">
        <v>36</v>
      </c>
      <c r="C78" s="116"/>
    </row>
    <row r="79" spans="2:15" x14ac:dyDescent="0.25">
      <c r="B79" s="117" t="s">
        <v>37</v>
      </c>
      <c r="C79" s="118"/>
    </row>
    <row r="80" spans="2:15" x14ac:dyDescent="0.25">
      <c r="B80" s="117" t="s">
        <v>38</v>
      </c>
      <c r="C80" s="118"/>
    </row>
    <row r="81" spans="2:3" x14ac:dyDescent="0.25">
      <c r="B81" s="117" t="s">
        <v>39</v>
      </c>
      <c r="C81" s="118"/>
    </row>
    <row r="82" spans="2:3" x14ac:dyDescent="0.25">
      <c r="B82" s="117" t="s">
        <v>40</v>
      </c>
      <c r="C82" s="118"/>
    </row>
    <row r="83" spans="2:3" x14ac:dyDescent="0.25">
      <c r="B83" s="117" t="s">
        <v>41</v>
      </c>
      <c r="C83" s="118"/>
    </row>
    <row r="84" spans="2:3" x14ac:dyDescent="0.25">
      <c r="B84" s="117" t="s">
        <v>42</v>
      </c>
      <c r="C84" s="118"/>
    </row>
    <row r="85" spans="2:3" x14ac:dyDescent="0.25">
      <c r="B85" s="117" t="s">
        <v>43</v>
      </c>
      <c r="C85" s="118"/>
    </row>
    <row r="86" spans="2:3" x14ac:dyDescent="0.25">
      <c r="B86" s="117" t="s">
        <v>44</v>
      </c>
      <c r="C86" s="118"/>
    </row>
    <row r="87" spans="2:3" x14ac:dyDescent="0.25">
      <c r="B87" s="117" t="s">
        <v>45</v>
      </c>
      <c r="C87" s="118"/>
    </row>
    <row r="88" spans="2:3" x14ac:dyDescent="0.25">
      <c r="B88" s="117" t="s">
        <v>46</v>
      </c>
      <c r="C88" s="118"/>
    </row>
    <row r="89" spans="2:3" x14ac:dyDescent="0.25">
      <c r="B89" s="117" t="s">
        <v>47</v>
      </c>
      <c r="C89" s="118"/>
    </row>
    <row r="90" spans="2:3" x14ac:dyDescent="0.25">
      <c r="B90" s="117" t="s">
        <v>48</v>
      </c>
      <c r="C90" s="118"/>
    </row>
    <row r="91" spans="2:3" x14ac:dyDescent="0.25">
      <c r="B91" s="117" t="s">
        <v>49</v>
      </c>
      <c r="C91" s="118"/>
    </row>
    <row r="92" spans="2:3" ht="15.75" thickBot="1" x14ac:dyDescent="0.3">
      <c r="B92" s="124" t="s">
        <v>50</v>
      </c>
      <c r="C92" s="125"/>
    </row>
  </sheetData>
  <mergeCells count="76">
    <mergeCell ref="B80:C80"/>
    <mergeCell ref="B81:C81"/>
    <mergeCell ref="B82:C82"/>
    <mergeCell ref="B83:C83"/>
    <mergeCell ref="B84:C84"/>
    <mergeCell ref="B90:C90"/>
    <mergeCell ref="B91:C91"/>
    <mergeCell ref="B92:C92"/>
    <mergeCell ref="B85:C85"/>
    <mergeCell ref="B86:C86"/>
    <mergeCell ref="B87:C87"/>
    <mergeCell ref="B88:C88"/>
    <mergeCell ref="B89:C89"/>
    <mergeCell ref="B76:C76"/>
    <mergeCell ref="B77:C77"/>
    <mergeCell ref="B78:C78"/>
    <mergeCell ref="B79:C79"/>
    <mergeCell ref="B67:C67"/>
    <mergeCell ref="B68:C68"/>
    <mergeCell ref="B69:C69"/>
    <mergeCell ref="B70:C70"/>
    <mergeCell ref="B71:C71"/>
    <mergeCell ref="B72:C72"/>
    <mergeCell ref="B62:C62"/>
    <mergeCell ref="B63:C63"/>
    <mergeCell ref="B64:C64"/>
    <mergeCell ref="B65:C65"/>
    <mergeCell ref="B66:C66"/>
    <mergeCell ref="B57:C57"/>
    <mergeCell ref="B58:C58"/>
    <mergeCell ref="B59:C59"/>
    <mergeCell ref="B60:C60"/>
    <mergeCell ref="B61:C61"/>
    <mergeCell ref="B49:C49"/>
    <mergeCell ref="B50:C50"/>
    <mergeCell ref="B51:C51"/>
    <mergeCell ref="B52:C52"/>
    <mergeCell ref="B56:C56"/>
    <mergeCell ref="B44:C44"/>
    <mergeCell ref="B45:C45"/>
    <mergeCell ref="B46:C46"/>
    <mergeCell ref="B47:C47"/>
    <mergeCell ref="B48:C48"/>
    <mergeCell ref="B39:C39"/>
    <mergeCell ref="B40:C40"/>
    <mergeCell ref="B41:C41"/>
    <mergeCell ref="B42:C42"/>
    <mergeCell ref="B43:C43"/>
    <mergeCell ref="B22:C22"/>
    <mergeCell ref="B23:C23"/>
    <mergeCell ref="B24:C24"/>
    <mergeCell ref="B25:C25"/>
    <mergeCell ref="B26:C26"/>
    <mergeCell ref="B32:C32"/>
    <mergeCell ref="B36:C36"/>
    <mergeCell ref="B37:C37"/>
    <mergeCell ref="B38:C38"/>
    <mergeCell ref="B27:C27"/>
    <mergeCell ref="B28:C28"/>
    <mergeCell ref="B29:C29"/>
    <mergeCell ref="B30:C30"/>
    <mergeCell ref="B31:C31"/>
    <mergeCell ref="B18:C18"/>
    <mergeCell ref="B19:C19"/>
    <mergeCell ref="B20:C20"/>
    <mergeCell ref="B21:C21"/>
    <mergeCell ref="N1:P4"/>
    <mergeCell ref="A1:C4"/>
    <mergeCell ref="D1:K2"/>
    <mergeCell ref="L1:M3"/>
    <mergeCell ref="D3:K4"/>
    <mergeCell ref="L4:M4"/>
    <mergeCell ref="B16:C16"/>
    <mergeCell ref="B17:C17"/>
    <mergeCell ref="D11:E11"/>
    <mergeCell ref="D10:E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mportarDatos">
                <anchor moveWithCells="1" sizeWithCells="1">
                  <from>
                    <xdr:col>4</xdr:col>
                    <xdr:colOff>47625</xdr:colOff>
                    <xdr:row>4</xdr:row>
                    <xdr:rowOff>123825</xdr:rowOff>
                  </from>
                  <to>
                    <xdr:col>5</xdr:col>
                    <xdr:colOff>704850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Borrardatos">
                <anchor moveWithCells="1" sizeWithCells="1">
                  <from>
                    <xdr:col>8</xdr:col>
                    <xdr:colOff>95250</xdr:colOff>
                    <xdr:row>4</xdr:row>
                    <xdr:rowOff>123825</xdr:rowOff>
                  </from>
                  <to>
                    <xdr:col>9</xdr:col>
                    <xdr:colOff>638175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BFD06-A132-4ACE-8826-A93A06F03C12}">
  <sheetPr codeName="Hoja3"/>
  <dimension ref="A1:P16"/>
  <sheetViews>
    <sheetView showGridLines="0" workbookViewId="0">
      <pane ySplit="4" topLeftCell="A5" activePane="bottomLeft" state="frozen"/>
      <selection pane="bottomLeft" activeCell="E14" sqref="E14"/>
    </sheetView>
  </sheetViews>
  <sheetFormatPr baseColWidth="10" defaultRowHeight="15" x14ac:dyDescent="0.25"/>
  <sheetData>
    <row r="1" spans="1:16" x14ac:dyDescent="0.25">
      <c r="A1" s="107"/>
      <c r="B1" s="119"/>
      <c r="C1" s="108"/>
      <c r="D1" s="95" t="s">
        <v>1</v>
      </c>
      <c r="E1" s="96"/>
      <c r="F1" s="96"/>
      <c r="G1" s="96"/>
      <c r="H1" s="96"/>
      <c r="I1" s="96"/>
      <c r="J1" s="96"/>
      <c r="K1" s="97"/>
      <c r="L1" s="107"/>
      <c r="M1" s="108"/>
      <c r="N1" s="27" t="s">
        <v>57</v>
      </c>
      <c r="O1" s="28"/>
      <c r="P1" s="29"/>
    </row>
    <row r="2" spans="1:16" ht="15.75" thickBot="1" x14ac:dyDescent="0.3">
      <c r="A2" s="109"/>
      <c r="B2" s="120"/>
      <c r="C2" s="110"/>
      <c r="D2" s="98"/>
      <c r="E2" s="99"/>
      <c r="F2" s="99"/>
      <c r="G2" s="99"/>
      <c r="H2" s="99"/>
      <c r="I2" s="99"/>
      <c r="J2" s="99"/>
      <c r="K2" s="100"/>
      <c r="L2" s="109"/>
      <c r="M2" s="110"/>
      <c r="N2" s="30"/>
      <c r="O2" s="31"/>
      <c r="P2" s="32"/>
    </row>
    <row r="3" spans="1:16" ht="15.75" thickBot="1" x14ac:dyDescent="0.3">
      <c r="A3" s="109"/>
      <c r="B3" s="120"/>
      <c r="C3" s="110"/>
      <c r="D3" s="101" t="s">
        <v>56</v>
      </c>
      <c r="E3" s="102"/>
      <c r="F3" s="102"/>
      <c r="G3" s="102"/>
      <c r="H3" s="102"/>
      <c r="I3" s="102"/>
      <c r="J3" s="102"/>
      <c r="K3" s="103"/>
      <c r="L3" s="111"/>
      <c r="M3" s="112"/>
      <c r="N3" s="30"/>
      <c r="O3" s="31"/>
      <c r="P3" s="32"/>
    </row>
    <row r="4" spans="1:16" ht="15.75" thickBot="1" x14ac:dyDescent="0.3">
      <c r="A4" s="111"/>
      <c r="B4" s="121"/>
      <c r="C4" s="112"/>
      <c r="D4" s="104"/>
      <c r="E4" s="105"/>
      <c r="F4" s="105"/>
      <c r="G4" s="105"/>
      <c r="H4" s="105"/>
      <c r="I4" s="105"/>
      <c r="J4" s="105"/>
      <c r="K4" s="106"/>
      <c r="L4" s="113" t="s">
        <v>0</v>
      </c>
      <c r="M4" s="114"/>
      <c r="N4" s="33"/>
      <c r="O4" s="34"/>
      <c r="P4" s="35"/>
    </row>
    <row r="6" spans="1:16" ht="15.75" thickBot="1" x14ac:dyDescent="0.3"/>
    <row r="7" spans="1:16" ht="16.5" thickBot="1" x14ac:dyDescent="0.3">
      <c r="C7" s="79" t="s">
        <v>19</v>
      </c>
      <c r="D7" s="80"/>
      <c r="E7" s="80"/>
      <c r="F7" s="81"/>
      <c r="I7" s="53" t="s">
        <v>64</v>
      </c>
      <c r="J7" s="54"/>
      <c r="K7" s="54"/>
      <c r="L7" s="55"/>
    </row>
    <row r="8" spans="1:16" x14ac:dyDescent="0.25">
      <c r="C8" s="77" t="s">
        <v>62</v>
      </c>
      <c r="D8" s="78"/>
      <c r="E8" s="78"/>
      <c r="F8" s="6">
        <v>0</v>
      </c>
      <c r="I8" s="47" t="s">
        <v>22</v>
      </c>
      <c r="J8" s="48"/>
      <c r="K8" s="48"/>
      <c r="L8" s="9">
        <v>0</v>
      </c>
    </row>
    <row r="9" spans="1:16" ht="15.75" thickBot="1" x14ac:dyDescent="0.3">
      <c r="C9" s="72" t="s">
        <v>63</v>
      </c>
      <c r="D9" s="73"/>
      <c r="E9" s="73"/>
      <c r="F9" s="8">
        <v>0</v>
      </c>
      <c r="I9" s="51" t="s">
        <v>68</v>
      </c>
      <c r="J9" s="52"/>
      <c r="K9" s="52"/>
      <c r="L9" s="11">
        <v>0</v>
      </c>
    </row>
    <row r="12" spans="1:16" ht="15.75" thickBot="1" x14ac:dyDescent="0.3"/>
    <row r="13" spans="1:16" ht="15.75" thickBot="1" x14ac:dyDescent="0.3">
      <c r="B13" s="42"/>
      <c r="C13" s="43"/>
      <c r="D13" s="44"/>
      <c r="E13" s="15">
        <v>1</v>
      </c>
      <c r="F13" s="16">
        <v>2</v>
      </c>
      <c r="G13" s="16">
        <v>3</v>
      </c>
      <c r="H13" s="16">
        <v>4</v>
      </c>
      <c r="I13" s="16">
        <v>5</v>
      </c>
      <c r="J13" s="16">
        <v>6</v>
      </c>
      <c r="K13" s="16">
        <v>7</v>
      </c>
      <c r="L13" s="16">
        <v>8</v>
      </c>
      <c r="M13" s="16">
        <v>9</v>
      </c>
      <c r="N13" s="16">
        <v>10</v>
      </c>
      <c r="O13" s="16">
        <v>11</v>
      </c>
      <c r="P13" s="17">
        <v>12</v>
      </c>
    </row>
    <row r="14" spans="1:16" x14ac:dyDescent="0.25">
      <c r="B14" s="36" t="s">
        <v>65</v>
      </c>
      <c r="C14" s="37"/>
      <c r="D14" s="38"/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x14ac:dyDescent="0.25">
      <c r="B15" s="36" t="s">
        <v>66</v>
      </c>
      <c r="C15" s="37"/>
      <c r="D15" s="38"/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5">
      <c r="B16" s="36" t="s">
        <v>67</v>
      </c>
      <c r="C16" s="37"/>
      <c r="D16" s="38"/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</sheetData>
  <mergeCells count="16">
    <mergeCell ref="N1:P4"/>
    <mergeCell ref="C7:F7"/>
    <mergeCell ref="C8:E8"/>
    <mergeCell ref="C9:E9"/>
    <mergeCell ref="I7:L7"/>
    <mergeCell ref="I8:K8"/>
    <mergeCell ref="A1:C4"/>
    <mergeCell ref="D1:K2"/>
    <mergeCell ref="L1:M3"/>
    <mergeCell ref="D3:K4"/>
    <mergeCell ref="L4:M4"/>
    <mergeCell ref="B13:D13"/>
    <mergeCell ref="B14:D14"/>
    <mergeCell ref="B15:D15"/>
    <mergeCell ref="B16:D16"/>
    <mergeCell ref="I9:K9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22E16-5663-4DBA-B701-DDA826B9FA0C}">
  <sheetPr codeName="Hoja6"/>
  <dimension ref="A1:P80"/>
  <sheetViews>
    <sheetView showGridLines="0" workbookViewId="0">
      <pane ySplit="4" topLeftCell="A5" activePane="bottomLeft" state="frozen"/>
      <selection pane="bottomLeft" activeCell="E8" sqref="D8:E8"/>
    </sheetView>
  </sheetViews>
  <sheetFormatPr baseColWidth="10" defaultRowHeight="15" x14ac:dyDescent="0.25"/>
  <sheetData>
    <row r="1" spans="1:16" x14ac:dyDescent="0.25">
      <c r="A1" s="107"/>
      <c r="B1" s="119"/>
      <c r="C1" s="108"/>
      <c r="D1" s="95" t="s">
        <v>1</v>
      </c>
      <c r="E1" s="96"/>
      <c r="F1" s="96"/>
      <c r="G1" s="96"/>
      <c r="H1" s="96"/>
      <c r="I1" s="96"/>
      <c r="J1" s="96"/>
      <c r="K1" s="97"/>
      <c r="L1" s="107"/>
      <c r="M1" s="108"/>
      <c r="N1" s="27" t="s">
        <v>69</v>
      </c>
      <c r="O1" s="28"/>
      <c r="P1" s="29"/>
    </row>
    <row r="2" spans="1:16" ht="15.75" thickBot="1" x14ac:dyDescent="0.3">
      <c r="A2" s="109"/>
      <c r="B2" s="120"/>
      <c r="C2" s="110"/>
      <c r="D2" s="98"/>
      <c r="E2" s="99"/>
      <c r="F2" s="99"/>
      <c r="G2" s="99"/>
      <c r="H2" s="99"/>
      <c r="I2" s="99"/>
      <c r="J2" s="99"/>
      <c r="K2" s="100"/>
      <c r="L2" s="109"/>
      <c r="M2" s="110"/>
      <c r="N2" s="30"/>
      <c r="O2" s="31"/>
      <c r="P2" s="32"/>
    </row>
    <row r="3" spans="1:16" ht="15.75" thickBot="1" x14ac:dyDescent="0.3">
      <c r="A3" s="109"/>
      <c r="B3" s="120"/>
      <c r="C3" s="110"/>
      <c r="D3" s="101" t="s">
        <v>56</v>
      </c>
      <c r="E3" s="102"/>
      <c r="F3" s="102"/>
      <c r="G3" s="102"/>
      <c r="H3" s="102"/>
      <c r="I3" s="102"/>
      <c r="J3" s="102"/>
      <c r="K3" s="103"/>
      <c r="L3" s="111"/>
      <c r="M3" s="112"/>
      <c r="N3" s="30"/>
      <c r="O3" s="31"/>
      <c r="P3" s="32"/>
    </row>
    <row r="4" spans="1:16" ht="15.75" thickBot="1" x14ac:dyDescent="0.3">
      <c r="A4" s="111"/>
      <c r="B4" s="121"/>
      <c r="C4" s="112"/>
      <c r="D4" s="104"/>
      <c r="E4" s="105"/>
      <c r="F4" s="105"/>
      <c r="G4" s="105"/>
      <c r="H4" s="105"/>
      <c r="I4" s="105"/>
      <c r="J4" s="105"/>
      <c r="K4" s="106"/>
      <c r="L4" s="113" t="s">
        <v>0</v>
      </c>
      <c r="M4" s="114"/>
      <c r="N4" s="33"/>
      <c r="O4" s="34"/>
      <c r="P4" s="35"/>
    </row>
    <row r="8" spans="1:16" ht="15.75" thickBot="1" x14ac:dyDescent="0.3"/>
    <row r="9" spans="1:16" ht="15.75" thickBot="1" x14ac:dyDescent="0.3">
      <c r="F9" s="187" t="s">
        <v>70</v>
      </c>
      <c r="G9" s="188" t="s">
        <v>78</v>
      </c>
      <c r="H9" s="188" t="s">
        <v>79</v>
      </c>
      <c r="I9" s="188" t="s">
        <v>80</v>
      </c>
      <c r="J9" s="188" t="s">
        <v>81</v>
      </c>
      <c r="K9" s="189" t="s">
        <v>82</v>
      </c>
    </row>
    <row r="10" spans="1:16" ht="15.75" thickBot="1" x14ac:dyDescent="0.3">
      <c r="E10" s="190" t="s">
        <v>83</v>
      </c>
    </row>
    <row r="11" spans="1:16" x14ac:dyDescent="0.25">
      <c r="B11" s="135" t="s">
        <v>106</v>
      </c>
    </row>
    <row r="12" spans="1:16" ht="15.75" thickBot="1" x14ac:dyDescent="0.3"/>
    <row r="13" spans="1:16" ht="16.5" thickBot="1" x14ac:dyDescent="0.3">
      <c r="B13" s="132" t="s">
        <v>71</v>
      </c>
      <c r="C13" s="133"/>
      <c r="D13" s="134"/>
      <c r="E13" s="15">
        <v>1</v>
      </c>
      <c r="F13" s="16">
        <v>2</v>
      </c>
      <c r="G13" s="16">
        <v>3</v>
      </c>
      <c r="H13" s="16">
        <v>4</v>
      </c>
      <c r="I13" s="16">
        <v>5</v>
      </c>
      <c r="J13" s="16">
        <v>6</v>
      </c>
      <c r="K13" s="16">
        <v>7</v>
      </c>
      <c r="L13" s="16">
        <v>8</v>
      </c>
      <c r="M13" s="16">
        <v>9</v>
      </c>
      <c r="N13" s="16">
        <v>10</v>
      </c>
      <c r="O13" s="16">
        <v>11</v>
      </c>
      <c r="P13" s="17">
        <v>12</v>
      </c>
    </row>
    <row r="14" spans="1:16" x14ac:dyDescent="0.25">
      <c r="B14" s="36" t="s">
        <v>72</v>
      </c>
      <c r="C14" s="37"/>
      <c r="D14" s="38"/>
    </row>
    <row r="15" spans="1:16" x14ac:dyDescent="0.25">
      <c r="B15" s="36" t="s">
        <v>73</v>
      </c>
      <c r="C15" s="37"/>
      <c r="D15" s="38"/>
    </row>
    <row r="16" spans="1:16" x14ac:dyDescent="0.25">
      <c r="B16" s="36" t="s">
        <v>74</v>
      </c>
      <c r="C16" s="37"/>
      <c r="D16" s="38"/>
    </row>
    <row r="17" spans="2:15" x14ac:dyDescent="0.25">
      <c r="B17" s="36" t="s">
        <v>75</v>
      </c>
      <c r="C17" s="37"/>
      <c r="D17" s="38"/>
    </row>
    <row r="18" spans="2:15" x14ac:dyDescent="0.25">
      <c r="B18" s="36" t="s">
        <v>76</v>
      </c>
      <c r="C18" s="37"/>
      <c r="D18" s="38"/>
    </row>
    <row r="19" spans="2:15" x14ac:dyDescent="0.25">
      <c r="B19" s="36" t="s">
        <v>77</v>
      </c>
      <c r="C19" s="37"/>
      <c r="D19" s="38"/>
    </row>
    <row r="22" spans="2:15" x14ac:dyDescent="0.25">
      <c r="B22" s="135" t="s">
        <v>107</v>
      </c>
    </row>
    <row r="23" spans="2:15" ht="15.75" thickBot="1" x14ac:dyDescent="0.3"/>
    <row r="24" spans="2:15" ht="15.75" thickBot="1" x14ac:dyDescent="0.3">
      <c r="B24" s="122" t="s">
        <v>89</v>
      </c>
      <c r="C24" s="123"/>
      <c r="D24" s="19">
        <v>1</v>
      </c>
      <c r="E24" s="20">
        <v>2</v>
      </c>
      <c r="F24" s="20">
        <v>3</v>
      </c>
      <c r="G24" s="20">
        <v>4</v>
      </c>
      <c r="H24" s="20">
        <v>5</v>
      </c>
      <c r="I24" s="20">
        <v>6</v>
      </c>
      <c r="J24" s="20">
        <v>7</v>
      </c>
      <c r="K24" s="20">
        <v>8</v>
      </c>
      <c r="L24" s="20">
        <v>9</v>
      </c>
      <c r="M24" s="20">
        <v>10</v>
      </c>
      <c r="N24" s="20">
        <v>11</v>
      </c>
      <c r="O24" s="21">
        <v>12</v>
      </c>
    </row>
    <row r="25" spans="2:15" x14ac:dyDescent="0.25">
      <c r="B25" s="126" t="s">
        <v>84</v>
      </c>
      <c r="C25" s="127"/>
    </row>
    <row r="26" spans="2:15" x14ac:dyDescent="0.25">
      <c r="B26" s="115" t="s">
        <v>85</v>
      </c>
      <c r="C26" s="116"/>
    </row>
    <row r="27" spans="2:15" x14ac:dyDescent="0.25">
      <c r="B27" s="117" t="s">
        <v>86</v>
      </c>
      <c r="C27" s="118"/>
    </row>
    <row r="28" spans="2:15" x14ac:dyDescent="0.25">
      <c r="B28" s="117" t="s">
        <v>87</v>
      </c>
      <c r="C28" s="118"/>
    </row>
    <row r="29" spans="2:15" x14ac:dyDescent="0.25">
      <c r="B29" s="117" t="s">
        <v>71</v>
      </c>
      <c r="C29" s="118"/>
    </row>
    <row r="30" spans="2:15" ht="15.75" thickBot="1" x14ac:dyDescent="0.3">
      <c r="B30" s="124" t="s">
        <v>88</v>
      </c>
      <c r="C30" s="125"/>
    </row>
    <row r="33" spans="2:15" ht="15.75" thickBot="1" x14ac:dyDescent="0.3"/>
    <row r="34" spans="2:15" ht="15.75" thickBot="1" x14ac:dyDescent="0.3">
      <c r="B34" s="122" t="s">
        <v>90</v>
      </c>
      <c r="C34" s="123"/>
      <c r="D34" s="19">
        <v>1</v>
      </c>
      <c r="E34" s="20">
        <v>2</v>
      </c>
      <c r="F34" s="20">
        <v>3</v>
      </c>
      <c r="G34" s="20">
        <v>4</v>
      </c>
      <c r="H34" s="20">
        <v>5</v>
      </c>
      <c r="I34" s="20">
        <v>6</v>
      </c>
      <c r="J34" s="20">
        <v>7</v>
      </c>
      <c r="K34" s="20">
        <v>8</v>
      </c>
      <c r="L34" s="20">
        <v>9</v>
      </c>
      <c r="M34" s="20">
        <v>10</v>
      </c>
      <c r="N34" s="20">
        <v>11</v>
      </c>
      <c r="O34" s="21">
        <v>12</v>
      </c>
    </row>
    <row r="35" spans="2:15" x14ac:dyDescent="0.25">
      <c r="B35" s="126" t="s">
        <v>84</v>
      </c>
      <c r="C35" s="127"/>
    </row>
    <row r="36" spans="2:15" x14ac:dyDescent="0.25">
      <c r="B36" s="115" t="s">
        <v>85</v>
      </c>
      <c r="C36" s="116"/>
    </row>
    <row r="37" spans="2:15" x14ac:dyDescent="0.25">
      <c r="B37" s="117" t="s">
        <v>86</v>
      </c>
      <c r="C37" s="118"/>
    </row>
    <row r="38" spans="2:15" x14ac:dyDescent="0.25">
      <c r="B38" s="117" t="s">
        <v>87</v>
      </c>
      <c r="C38" s="118"/>
    </row>
    <row r="39" spans="2:15" x14ac:dyDescent="0.25">
      <c r="B39" s="117" t="s">
        <v>71</v>
      </c>
      <c r="C39" s="118"/>
    </row>
    <row r="40" spans="2:15" ht="15.75" thickBot="1" x14ac:dyDescent="0.3">
      <c r="B40" s="124" t="s">
        <v>88</v>
      </c>
      <c r="C40" s="125"/>
    </row>
    <row r="43" spans="2:15" ht="15.75" thickBot="1" x14ac:dyDescent="0.3"/>
    <row r="44" spans="2:15" ht="15.75" thickBot="1" x14ac:dyDescent="0.3">
      <c r="B44" s="122" t="s">
        <v>91</v>
      </c>
      <c r="C44" s="123"/>
      <c r="D44" s="19">
        <v>1</v>
      </c>
      <c r="E44" s="20">
        <v>2</v>
      </c>
      <c r="F44" s="20">
        <v>3</v>
      </c>
      <c r="G44" s="20">
        <v>4</v>
      </c>
      <c r="H44" s="20">
        <v>5</v>
      </c>
      <c r="I44" s="20">
        <v>6</v>
      </c>
      <c r="J44" s="20">
        <v>7</v>
      </c>
      <c r="K44" s="20">
        <v>8</v>
      </c>
      <c r="L44" s="20">
        <v>9</v>
      </c>
      <c r="M44" s="20">
        <v>10</v>
      </c>
      <c r="N44" s="20">
        <v>11</v>
      </c>
      <c r="O44" s="21">
        <v>12</v>
      </c>
    </row>
    <row r="45" spans="2:15" x14ac:dyDescent="0.25">
      <c r="B45" s="126" t="s">
        <v>84</v>
      </c>
      <c r="C45" s="127"/>
    </row>
    <row r="46" spans="2:15" x14ac:dyDescent="0.25">
      <c r="B46" s="115" t="s">
        <v>85</v>
      </c>
      <c r="C46" s="116"/>
    </row>
    <row r="47" spans="2:15" x14ac:dyDescent="0.25">
      <c r="B47" s="117" t="s">
        <v>86</v>
      </c>
      <c r="C47" s="118"/>
    </row>
    <row r="48" spans="2:15" x14ac:dyDescent="0.25">
      <c r="B48" s="117" t="s">
        <v>87</v>
      </c>
      <c r="C48" s="118"/>
    </row>
    <row r="49" spans="2:15" x14ac:dyDescent="0.25">
      <c r="B49" s="117" t="s">
        <v>71</v>
      </c>
      <c r="C49" s="118"/>
    </row>
    <row r="50" spans="2:15" ht="15.75" thickBot="1" x14ac:dyDescent="0.3">
      <c r="B50" s="124" t="s">
        <v>88</v>
      </c>
      <c r="C50" s="125"/>
    </row>
    <row r="53" spans="2:15" ht="15.75" thickBot="1" x14ac:dyDescent="0.3"/>
    <row r="54" spans="2:15" ht="15.75" thickBot="1" x14ac:dyDescent="0.3">
      <c r="B54" s="122" t="s">
        <v>92</v>
      </c>
      <c r="C54" s="123"/>
      <c r="D54" s="19">
        <v>1</v>
      </c>
      <c r="E54" s="20">
        <v>2</v>
      </c>
      <c r="F54" s="20">
        <v>3</v>
      </c>
      <c r="G54" s="20">
        <v>4</v>
      </c>
      <c r="H54" s="20">
        <v>5</v>
      </c>
      <c r="I54" s="20">
        <v>6</v>
      </c>
      <c r="J54" s="20">
        <v>7</v>
      </c>
      <c r="K54" s="20">
        <v>8</v>
      </c>
      <c r="L54" s="20">
        <v>9</v>
      </c>
      <c r="M54" s="20">
        <v>10</v>
      </c>
      <c r="N54" s="20">
        <v>11</v>
      </c>
      <c r="O54" s="21">
        <v>12</v>
      </c>
    </row>
    <row r="55" spans="2:15" x14ac:dyDescent="0.25">
      <c r="B55" s="126" t="s">
        <v>84</v>
      </c>
      <c r="C55" s="127"/>
    </row>
    <row r="56" spans="2:15" x14ac:dyDescent="0.25">
      <c r="B56" s="115" t="s">
        <v>85</v>
      </c>
      <c r="C56" s="116"/>
    </row>
    <row r="57" spans="2:15" x14ac:dyDescent="0.25">
      <c r="B57" s="117" t="s">
        <v>86</v>
      </c>
      <c r="C57" s="118"/>
    </row>
    <row r="58" spans="2:15" x14ac:dyDescent="0.25">
      <c r="B58" s="117" t="s">
        <v>87</v>
      </c>
      <c r="C58" s="118"/>
    </row>
    <row r="59" spans="2:15" x14ac:dyDescent="0.25">
      <c r="B59" s="117" t="s">
        <v>71</v>
      </c>
      <c r="C59" s="118"/>
    </row>
    <row r="60" spans="2:15" ht="15.75" thickBot="1" x14ac:dyDescent="0.3">
      <c r="B60" s="124" t="s">
        <v>88</v>
      </c>
      <c r="C60" s="125"/>
    </row>
    <row r="63" spans="2:15" ht="15.75" thickBot="1" x14ac:dyDescent="0.3"/>
    <row r="64" spans="2:15" ht="15.75" thickBot="1" x14ac:dyDescent="0.3">
      <c r="B64" s="122" t="s">
        <v>93</v>
      </c>
      <c r="C64" s="123"/>
      <c r="D64" s="19">
        <v>1</v>
      </c>
      <c r="E64" s="20">
        <v>2</v>
      </c>
      <c r="F64" s="20">
        <v>3</v>
      </c>
      <c r="G64" s="20">
        <v>4</v>
      </c>
      <c r="H64" s="20">
        <v>5</v>
      </c>
      <c r="I64" s="20">
        <v>6</v>
      </c>
      <c r="J64" s="20">
        <v>7</v>
      </c>
      <c r="K64" s="20">
        <v>8</v>
      </c>
      <c r="L64" s="20">
        <v>9</v>
      </c>
      <c r="M64" s="20">
        <v>10</v>
      </c>
      <c r="N64" s="20">
        <v>11</v>
      </c>
      <c r="O64" s="21">
        <v>12</v>
      </c>
    </row>
    <row r="65" spans="2:15" x14ac:dyDescent="0.25">
      <c r="B65" s="126" t="s">
        <v>84</v>
      </c>
      <c r="C65" s="127"/>
    </row>
    <row r="66" spans="2:15" x14ac:dyDescent="0.25">
      <c r="B66" s="115" t="s">
        <v>85</v>
      </c>
      <c r="C66" s="116"/>
    </row>
    <row r="67" spans="2:15" x14ac:dyDescent="0.25">
      <c r="B67" s="117" t="s">
        <v>86</v>
      </c>
      <c r="C67" s="118"/>
    </row>
    <row r="68" spans="2:15" x14ac:dyDescent="0.25">
      <c r="B68" s="117" t="s">
        <v>87</v>
      </c>
      <c r="C68" s="118"/>
    </row>
    <row r="69" spans="2:15" x14ac:dyDescent="0.25">
      <c r="B69" s="117" t="s">
        <v>71</v>
      </c>
      <c r="C69" s="118"/>
    </row>
    <row r="70" spans="2:15" ht="15.75" thickBot="1" x14ac:dyDescent="0.3">
      <c r="B70" s="124" t="s">
        <v>88</v>
      </c>
      <c r="C70" s="125"/>
    </row>
    <row r="73" spans="2:15" ht="15.75" thickBot="1" x14ac:dyDescent="0.3"/>
    <row r="74" spans="2:15" ht="15.75" thickBot="1" x14ac:dyDescent="0.3">
      <c r="B74" s="122" t="s">
        <v>82</v>
      </c>
      <c r="C74" s="123"/>
      <c r="D74" s="19">
        <v>1</v>
      </c>
      <c r="E74" s="20">
        <v>2</v>
      </c>
      <c r="F74" s="20">
        <v>3</v>
      </c>
      <c r="G74" s="20">
        <v>4</v>
      </c>
      <c r="H74" s="20">
        <v>5</v>
      </c>
      <c r="I74" s="20">
        <v>6</v>
      </c>
      <c r="J74" s="20">
        <v>7</v>
      </c>
      <c r="K74" s="20">
        <v>8</v>
      </c>
      <c r="L74" s="20">
        <v>9</v>
      </c>
      <c r="M74" s="20">
        <v>10</v>
      </c>
      <c r="N74" s="20">
        <v>11</v>
      </c>
      <c r="O74" s="21">
        <v>12</v>
      </c>
    </row>
    <row r="75" spans="2:15" x14ac:dyDescent="0.25">
      <c r="B75" s="126" t="s">
        <v>84</v>
      </c>
      <c r="C75" s="127"/>
    </row>
    <row r="76" spans="2:15" x14ac:dyDescent="0.25">
      <c r="B76" s="115" t="s">
        <v>85</v>
      </c>
      <c r="C76" s="116"/>
    </row>
    <row r="77" spans="2:15" x14ac:dyDescent="0.25">
      <c r="B77" s="117" t="s">
        <v>86</v>
      </c>
      <c r="C77" s="118"/>
    </row>
    <row r="78" spans="2:15" x14ac:dyDescent="0.25">
      <c r="B78" s="117" t="s">
        <v>87</v>
      </c>
      <c r="C78" s="118"/>
    </row>
    <row r="79" spans="2:15" x14ac:dyDescent="0.25">
      <c r="B79" s="117" t="s">
        <v>71</v>
      </c>
      <c r="C79" s="118"/>
    </row>
    <row r="80" spans="2:15" ht="15.75" thickBot="1" x14ac:dyDescent="0.3">
      <c r="B80" s="124" t="s">
        <v>88</v>
      </c>
      <c r="C80" s="125"/>
    </row>
  </sheetData>
  <mergeCells count="55">
    <mergeCell ref="B18:D18"/>
    <mergeCell ref="A1:C4"/>
    <mergeCell ref="D1:K2"/>
    <mergeCell ref="L1:M3"/>
    <mergeCell ref="N1:P4"/>
    <mergeCell ref="D3:K4"/>
    <mergeCell ref="L4:M4"/>
    <mergeCell ref="B13:D13"/>
    <mergeCell ref="B14:D14"/>
    <mergeCell ref="B15:D15"/>
    <mergeCell ref="B16:D16"/>
    <mergeCell ref="B17:D17"/>
    <mergeCell ref="B37:C37"/>
    <mergeCell ref="B19:D19"/>
    <mergeCell ref="B24:C24"/>
    <mergeCell ref="B25:C25"/>
    <mergeCell ref="B26:C26"/>
    <mergeCell ref="B27:C27"/>
    <mergeCell ref="B28:C28"/>
    <mergeCell ref="B29:C29"/>
    <mergeCell ref="B30:C30"/>
    <mergeCell ref="B34:C34"/>
    <mergeCell ref="B35:C35"/>
    <mergeCell ref="B36:C36"/>
    <mergeCell ref="B55:C55"/>
    <mergeCell ref="B38:C38"/>
    <mergeCell ref="B39:C39"/>
    <mergeCell ref="B40:C40"/>
    <mergeCell ref="B44:C44"/>
    <mergeCell ref="B45:C45"/>
    <mergeCell ref="B46:C46"/>
    <mergeCell ref="B47:C47"/>
    <mergeCell ref="B48:C48"/>
    <mergeCell ref="B49:C49"/>
    <mergeCell ref="B50:C50"/>
    <mergeCell ref="B54:C54"/>
    <mergeCell ref="B70:C70"/>
    <mergeCell ref="B56:C56"/>
    <mergeCell ref="B57:C57"/>
    <mergeCell ref="B58:C58"/>
    <mergeCell ref="B59:C59"/>
    <mergeCell ref="B60:C60"/>
    <mergeCell ref="B64:C64"/>
    <mergeCell ref="B65:C65"/>
    <mergeCell ref="B66:C66"/>
    <mergeCell ref="B67:C67"/>
    <mergeCell ref="B68:C68"/>
    <mergeCell ref="B69:C69"/>
    <mergeCell ref="B80:C80"/>
    <mergeCell ref="B74:C74"/>
    <mergeCell ref="B75:C75"/>
    <mergeCell ref="B76:C76"/>
    <mergeCell ref="B77:C77"/>
    <mergeCell ref="B78:C78"/>
    <mergeCell ref="B79:C7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ortarDatosPMP">
                <anchor moveWithCells="1" sizeWithCells="1">
                  <from>
                    <xdr:col>4</xdr:col>
                    <xdr:colOff>238125</xdr:colOff>
                    <xdr:row>4</xdr:row>
                    <xdr:rowOff>133350</xdr:rowOff>
                  </from>
                  <to>
                    <xdr:col>6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orrardatosPMP">
                <anchor moveWithCells="1" sizeWithCells="1">
                  <from>
                    <xdr:col>7</xdr:col>
                    <xdr:colOff>752475</xdr:colOff>
                    <xdr:row>4</xdr:row>
                    <xdr:rowOff>142875</xdr:rowOff>
                  </from>
                  <to>
                    <xdr:col>9</xdr:col>
                    <xdr:colOff>428625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9DD2-27E9-4469-BABD-449A6DE34EB8}">
  <sheetPr codeName="Hoja5"/>
  <dimension ref="A1:Q49"/>
  <sheetViews>
    <sheetView showGridLines="0" zoomScale="90" zoomScaleNormal="90" workbookViewId="0">
      <pane ySplit="4" topLeftCell="A5" activePane="bottomLeft" state="frozen"/>
      <selection pane="bottomLeft" activeCell="Y31" sqref="Y31"/>
    </sheetView>
  </sheetViews>
  <sheetFormatPr baseColWidth="10" defaultRowHeight="15" x14ac:dyDescent="0.25"/>
  <cols>
    <col min="4" max="4" width="12.5703125" customWidth="1"/>
    <col min="12" max="12" width="12.7109375" bestFit="1" customWidth="1"/>
  </cols>
  <sheetData>
    <row r="1" spans="1:16" x14ac:dyDescent="0.25">
      <c r="A1" s="107"/>
      <c r="B1" s="119"/>
      <c r="C1" s="108"/>
      <c r="D1" s="95" t="s">
        <v>1</v>
      </c>
      <c r="E1" s="96"/>
      <c r="F1" s="96"/>
      <c r="G1" s="96"/>
      <c r="H1" s="96"/>
      <c r="I1" s="96"/>
      <c r="J1" s="96"/>
      <c r="K1" s="97"/>
      <c r="L1" s="107"/>
      <c r="M1" s="108"/>
      <c r="N1" s="27" t="s">
        <v>94</v>
      </c>
      <c r="O1" s="28"/>
      <c r="P1" s="29"/>
    </row>
    <row r="2" spans="1:16" ht="15.75" thickBot="1" x14ac:dyDescent="0.3">
      <c r="A2" s="109"/>
      <c r="B2" s="120"/>
      <c r="C2" s="110"/>
      <c r="D2" s="98"/>
      <c r="E2" s="99"/>
      <c r="F2" s="99"/>
      <c r="G2" s="99"/>
      <c r="H2" s="99"/>
      <c r="I2" s="99"/>
      <c r="J2" s="99"/>
      <c r="K2" s="100"/>
      <c r="L2" s="109"/>
      <c r="M2" s="110"/>
      <c r="N2" s="30"/>
      <c r="O2" s="31"/>
      <c r="P2" s="32"/>
    </row>
    <row r="3" spans="1:16" ht="15.75" thickBot="1" x14ac:dyDescent="0.3">
      <c r="A3" s="109"/>
      <c r="B3" s="120"/>
      <c r="C3" s="110"/>
      <c r="D3" s="101" t="s">
        <v>138</v>
      </c>
      <c r="E3" s="102"/>
      <c r="F3" s="102"/>
      <c r="G3" s="102"/>
      <c r="H3" s="102"/>
      <c r="I3" s="102"/>
      <c r="J3" s="102"/>
      <c r="K3" s="103"/>
      <c r="L3" s="111"/>
      <c r="M3" s="112"/>
      <c r="N3" s="30"/>
      <c r="O3" s="31"/>
      <c r="P3" s="32"/>
    </row>
    <row r="4" spans="1:16" ht="15.75" thickBot="1" x14ac:dyDescent="0.3">
      <c r="A4" s="111"/>
      <c r="B4" s="121"/>
      <c r="C4" s="112"/>
      <c r="D4" s="104"/>
      <c r="E4" s="105"/>
      <c r="F4" s="105"/>
      <c r="G4" s="105"/>
      <c r="H4" s="105"/>
      <c r="I4" s="105"/>
      <c r="J4" s="105"/>
      <c r="K4" s="106"/>
      <c r="L4" s="113" t="s">
        <v>0</v>
      </c>
      <c r="M4" s="114"/>
      <c r="N4" s="33"/>
      <c r="O4" s="34"/>
      <c r="P4" s="35"/>
    </row>
    <row r="6" spans="1:16" x14ac:dyDescent="0.25">
      <c r="E6" s="135" t="s">
        <v>95</v>
      </c>
    </row>
    <row r="8" spans="1:16" ht="15.75" thickBot="1" x14ac:dyDescent="0.3"/>
    <row r="9" spans="1:16" ht="16.5" thickBot="1" x14ac:dyDescent="0.3">
      <c r="J9" s="79" t="s">
        <v>99</v>
      </c>
      <c r="K9" s="81"/>
      <c r="M9" s="79" t="s">
        <v>104</v>
      </c>
      <c r="N9" s="81"/>
    </row>
    <row r="10" spans="1:16" ht="15.75" thickBot="1" x14ac:dyDescent="0.3">
      <c r="J10" s="136" t="s">
        <v>97</v>
      </c>
      <c r="K10" s="137" t="s">
        <v>98</v>
      </c>
      <c r="M10" s="136" t="s">
        <v>97</v>
      </c>
      <c r="N10" s="137" t="s">
        <v>98</v>
      </c>
    </row>
    <row r="11" spans="1:16" ht="15.75" thickBot="1" x14ac:dyDescent="0.3">
      <c r="J11" s="136" t="s">
        <v>100</v>
      </c>
      <c r="K11" s="138"/>
      <c r="M11" s="136" t="s">
        <v>105</v>
      </c>
      <c r="N11" s="138"/>
    </row>
    <row r="12" spans="1:16" ht="15.75" thickBot="1" x14ac:dyDescent="0.3">
      <c r="J12" s="136" t="s">
        <v>101</v>
      </c>
      <c r="K12" s="138"/>
      <c r="M12" s="136" t="s">
        <v>102</v>
      </c>
      <c r="N12" s="138"/>
    </row>
    <row r="13" spans="1:16" ht="15.75" thickBot="1" x14ac:dyDescent="0.3">
      <c r="J13" s="136" t="s">
        <v>102</v>
      </c>
      <c r="K13" s="138"/>
      <c r="M13" s="136" t="s">
        <v>103</v>
      </c>
      <c r="N13" s="186"/>
    </row>
    <row r="14" spans="1:16" ht="15.75" thickBot="1" x14ac:dyDescent="0.3">
      <c r="J14" s="136" t="s">
        <v>103</v>
      </c>
      <c r="K14" s="186"/>
    </row>
    <row r="19" spans="2:12" x14ac:dyDescent="0.25">
      <c r="B19" s="135" t="s">
        <v>118</v>
      </c>
    </row>
    <row r="30" spans="2:12" ht="15.75" thickBot="1" x14ac:dyDescent="0.3"/>
    <row r="31" spans="2:12" ht="60.75" thickBot="1" x14ac:dyDescent="0.3">
      <c r="B31" s="152" t="s">
        <v>119</v>
      </c>
      <c r="C31" s="152" t="s">
        <v>120</v>
      </c>
      <c r="D31" s="153" t="s">
        <v>121</v>
      </c>
      <c r="E31" s="152" t="s">
        <v>110</v>
      </c>
      <c r="F31" s="153" t="s">
        <v>122</v>
      </c>
      <c r="K31" s="165" t="s">
        <v>108</v>
      </c>
    </row>
    <row r="32" spans="2:12" ht="15.75" thickBot="1" x14ac:dyDescent="0.3">
      <c r="B32" s="154" t="s">
        <v>133</v>
      </c>
      <c r="C32" s="155" t="s">
        <v>123</v>
      </c>
      <c r="D32" s="160">
        <v>0</v>
      </c>
      <c r="E32" s="161">
        <v>1</v>
      </c>
      <c r="F32" s="162">
        <v>0</v>
      </c>
      <c r="K32" s="139" t="s">
        <v>109</v>
      </c>
      <c r="L32" s="140">
        <v>8</v>
      </c>
    </row>
    <row r="33" spans="2:17" ht="15.75" thickBot="1" x14ac:dyDescent="0.3">
      <c r="B33" s="156"/>
      <c r="C33" s="157" t="s">
        <v>124</v>
      </c>
      <c r="D33" s="160">
        <v>0</v>
      </c>
      <c r="E33" s="163">
        <v>2</v>
      </c>
      <c r="F33" s="162">
        <v>0</v>
      </c>
    </row>
    <row r="34" spans="2:17" ht="15.75" thickBot="1" x14ac:dyDescent="0.3">
      <c r="B34" s="158"/>
      <c r="C34" s="157" t="s">
        <v>125</v>
      </c>
      <c r="D34" s="160">
        <v>0</v>
      </c>
      <c r="E34" s="163">
        <v>3</v>
      </c>
      <c r="F34" s="162">
        <v>0</v>
      </c>
      <c r="K34" s="141" t="s">
        <v>110</v>
      </c>
      <c r="L34" s="147" t="s">
        <v>111</v>
      </c>
      <c r="M34" s="147"/>
      <c r="N34" s="147"/>
      <c r="O34" s="147"/>
      <c r="P34" s="147"/>
      <c r="Q34" s="148"/>
    </row>
    <row r="35" spans="2:17" ht="15.75" thickBot="1" x14ac:dyDescent="0.3">
      <c r="B35" s="154" t="s">
        <v>134</v>
      </c>
      <c r="C35" s="157" t="s">
        <v>126</v>
      </c>
      <c r="D35" s="160">
        <v>0</v>
      </c>
      <c r="E35" s="163">
        <v>3</v>
      </c>
      <c r="F35" s="162">
        <v>0</v>
      </c>
      <c r="K35" s="142"/>
      <c r="L35" s="149" t="s">
        <v>112</v>
      </c>
      <c r="M35" s="148"/>
      <c r="N35" s="149" t="s">
        <v>113</v>
      </c>
      <c r="O35" s="148"/>
      <c r="P35" s="147" t="s">
        <v>114</v>
      </c>
      <c r="Q35" s="148"/>
    </row>
    <row r="36" spans="2:17" ht="15.75" thickBot="1" x14ac:dyDescent="0.3">
      <c r="B36" s="156"/>
      <c r="C36" s="157" t="s">
        <v>127</v>
      </c>
      <c r="D36" s="160">
        <v>0</v>
      </c>
      <c r="E36" s="163">
        <v>1</v>
      </c>
      <c r="F36" s="162">
        <v>0</v>
      </c>
      <c r="K36" s="143"/>
      <c r="L36" s="150" t="s">
        <v>115</v>
      </c>
      <c r="M36" s="151" t="s">
        <v>116</v>
      </c>
      <c r="N36" s="150" t="s">
        <v>115</v>
      </c>
      <c r="O36" s="151" t="s">
        <v>117</v>
      </c>
      <c r="P36" s="150" t="s">
        <v>115</v>
      </c>
      <c r="Q36" s="151" t="s">
        <v>116</v>
      </c>
    </row>
    <row r="37" spans="2:17" ht="15.75" thickBot="1" x14ac:dyDescent="0.3">
      <c r="B37" s="158"/>
      <c r="C37" s="157" t="s">
        <v>128</v>
      </c>
      <c r="D37" s="160">
        <v>0</v>
      </c>
      <c r="E37" s="163">
        <v>3</v>
      </c>
      <c r="F37" s="162">
        <v>0</v>
      </c>
      <c r="K37" s="144">
        <v>1</v>
      </c>
      <c r="L37" s="183">
        <v>0</v>
      </c>
      <c r="M37" s="181">
        <f>$L$32*L37*5</f>
        <v>0</v>
      </c>
      <c r="N37" s="183">
        <v>0</v>
      </c>
      <c r="O37" s="181">
        <f>$L$32*5*N37</f>
        <v>0</v>
      </c>
      <c r="P37" s="183">
        <v>0</v>
      </c>
      <c r="Q37" s="181">
        <f>$L$32*5*P37</f>
        <v>0</v>
      </c>
    </row>
    <row r="38" spans="2:17" x14ac:dyDescent="0.25">
      <c r="B38" s="154" t="s">
        <v>135</v>
      </c>
      <c r="C38" s="157" t="s">
        <v>129</v>
      </c>
      <c r="D38" s="160">
        <v>0</v>
      </c>
      <c r="E38" s="163">
        <v>4</v>
      </c>
      <c r="F38" s="162">
        <v>0</v>
      </c>
      <c r="K38" s="145">
        <v>2</v>
      </c>
      <c r="L38" s="183">
        <v>0</v>
      </c>
      <c r="M38" s="181">
        <f t="shared" ref="M38:M40" si="0">$L$32*L38*5</f>
        <v>0</v>
      </c>
      <c r="N38" s="183">
        <v>0</v>
      </c>
      <c r="O38" s="181">
        <f t="shared" ref="O38:O40" si="1">$L$32*5*N38</f>
        <v>0</v>
      </c>
      <c r="P38" s="183">
        <v>0</v>
      </c>
      <c r="Q38" s="181">
        <f t="shared" ref="Q38:Q40" si="2">$L$32*5*P38</f>
        <v>0</v>
      </c>
    </row>
    <row r="39" spans="2:17" ht="15.75" thickBot="1" x14ac:dyDescent="0.3">
      <c r="B39" s="158"/>
      <c r="C39" s="157" t="s">
        <v>130</v>
      </c>
      <c r="D39" s="160">
        <v>0</v>
      </c>
      <c r="E39" s="163">
        <v>2</v>
      </c>
      <c r="F39" s="162">
        <v>0</v>
      </c>
      <c r="K39" s="145">
        <v>3</v>
      </c>
      <c r="L39" s="183">
        <v>0</v>
      </c>
      <c r="M39" s="181">
        <f t="shared" si="0"/>
        <v>0</v>
      </c>
      <c r="N39" s="183">
        <v>0</v>
      </c>
      <c r="O39" s="181">
        <f t="shared" si="1"/>
        <v>0</v>
      </c>
      <c r="P39" s="183">
        <v>0</v>
      </c>
      <c r="Q39" s="181">
        <f t="shared" si="2"/>
        <v>0</v>
      </c>
    </row>
    <row r="40" spans="2:17" ht="15.75" thickBot="1" x14ac:dyDescent="0.3">
      <c r="B40" s="154" t="s">
        <v>136</v>
      </c>
      <c r="C40" s="157" t="s">
        <v>131</v>
      </c>
      <c r="D40" s="160">
        <v>0</v>
      </c>
      <c r="E40" s="163">
        <v>4</v>
      </c>
      <c r="F40" s="162">
        <v>0</v>
      </c>
      <c r="K40" s="146">
        <v>4</v>
      </c>
      <c r="L40" s="183">
        <v>0</v>
      </c>
      <c r="M40" s="182">
        <f t="shared" si="0"/>
        <v>0</v>
      </c>
      <c r="N40" s="183">
        <v>0</v>
      </c>
      <c r="O40" s="181">
        <f t="shared" si="1"/>
        <v>0</v>
      </c>
      <c r="P40" s="183">
        <v>0</v>
      </c>
      <c r="Q40" s="181">
        <f t="shared" si="2"/>
        <v>0</v>
      </c>
    </row>
    <row r="41" spans="2:17" ht="15.75" thickBot="1" x14ac:dyDescent="0.3">
      <c r="B41" s="158"/>
      <c r="C41" s="159" t="s">
        <v>132</v>
      </c>
      <c r="D41" s="160">
        <v>0</v>
      </c>
      <c r="E41" s="164">
        <v>1</v>
      </c>
      <c r="F41" s="162">
        <v>0</v>
      </c>
      <c r="K41" s="146" t="s">
        <v>158</v>
      </c>
      <c r="L41" s="184">
        <f>SUM(L37:L40)</f>
        <v>0</v>
      </c>
      <c r="M41" s="140">
        <f>SUM(M37:M40)</f>
        <v>0</v>
      </c>
      <c r="N41" s="140">
        <f>SUM(N37:N40)</f>
        <v>0</v>
      </c>
      <c r="O41" s="140">
        <f>SUM(O37:O40)</f>
        <v>0</v>
      </c>
      <c r="P41" s="180">
        <f>SUM(P37:P40)</f>
        <v>0</v>
      </c>
      <c r="Q41" s="140">
        <f>SUM(Q37:Q40)</f>
        <v>0</v>
      </c>
    </row>
    <row r="44" spans="2:17" x14ac:dyDescent="0.25">
      <c r="B44" s="135" t="s">
        <v>137</v>
      </c>
    </row>
    <row r="46" spans="2:17" ht="15.75" thickBot="1" x14ac:dyDescent="0.3"/>
    <row r="47" spans="2:17" ht="16.5" thickBot="1" x14ac:dyDescent="0.3">
      <c r="D47" s="166" t="s">
        <v>71</v>
      </c>
      <c r="E47" s="166">
        <v>1</v>
      </c>
      <c r="F47" s="166">
        <v>2</v>
      </c>
      <c r="G47" s="166">
        <v>3</v>
      </c>
      <c r="H47" s="166">
        <v>4</v>
      </c>
      <c r="I47" s="166">
        <v>5</v>
      </c>
      <c r="J47" s="166">
        <v>6</v>
      </c>
      <c r="K47" s="166">
        <v>7</v>
      </c>
      <c r="L47" s="166">
        <v>8</v>
      </c>
      <c r="M47" s="166">
        <v>9</v>
      </c>
      <c r="N47" s="166">
        <v>10</v>
      </c>
      <c r="O47" s="166">
        <v>11</v>
      </c>
      <c r="P47" s="166">
        <v>12</v>
      </c>
    </row>
    <row r="48" spans="2:17" ht="16.5" thickBot="1" x14ac:dyDescent="0.3">
      <c r="D48" s="166" t="s">
        <v>99</v>
      </c>
      <c r="E48" s="185">
        <v>0</v>
      </c>
      <c r="F48" s="185">
        <v>0</v>
      </c>
      <c r="G48" s="185">
        <v>0</v>
      </c>
      <c r="H48" s="185">
        <v>0</v>
      </c>
      <c r="I48" s="185">
        <v>0</v>
      </c>
      <c r="J48" s="185">
        <v>0</v>
      </c>
      <c r="K48" s="185">
        <v>0</v>
      </c>
      <c r="L48" s="185">
        <v>0</v>
      </c>
      <c r="M48" s="185">
        <v>0</v>
      </c>
      <c r="N48" s="185">
        <v>0</v>
      </c>
      <c r="O48" s="185">
        <v>0</v>
      </c>
      <c r="P48" s="185">
        <v>0</v>
      </c>
    </row>
    <row r="49" spans="4:16" ht="16.5" thickBot="1" x14ac:dyDescent="0.3">
      <c r="D49" s="166" t="s">
        <v>104</v>
      </c>
      <c r="E49" s="185">
        <v>0</v>
      </c>
      <c r="F49" s="185">
        <v>0</v>
      </c>
      <c r="G49" s="185">
        <v>0</v>
      </c>
      <c r="H49" s="185">
        <v>0</v>
      </c>
      <c r="I49" s="185">
        <v>0</v>
      </c>
      <c r="J49" s="185">
        <v>0</v>
      </c>
      <c r="K49" s="185">
        <v>0</v>
      </c>
      <c r="L49" s="185">
        <v>0</v>
      </c>
      <c r="M49" s="185">
        <v>0</v>
      </c>
      <c r="N49" s="185">
        <v>0</v>
      </c>
      <c r="O49" s="185">
        <v>0</v>
      </c>
      <c r="P49" s="185">
        <v>0</v>
      </c>
    </row>
  </sheetData>
  <mergeCells count="17">
    <mergeCell ref="B32:B34"/>
    <mergeCell ref="B35:B37"/>
    <mergeCell ref="B38:B39"/>
    <mergeCell ref="B40:B41"/>
    <mergeCell ref="M9:N9"/>
    <mergeCell ref="L35:M35"/>
    <mergeCell ref="N35:O35"/>
    <mergeCell ref="P35:Q35"/>
    <mergeCell ref="L34:Q34"/>
    <mergeCell ref="K34:K36"/>
    <mergeCell ref="J9:K9"/>
    <mergeCell ref="N1:P4"/>
    <mergeCell ref="A1:C4"/>
    <mergeCell ref="D1:K2"/>
    <mergeCell ref="L1:M3"/>
    <mergeCell ref="D3:K4"/>
    <mergeCell ref="L4:M4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490FC-C915-4414-A197-1A5469E23F5E}">
  <sheetPr codeName="Hoja8"/>
  <dimension ref="A1:P60"/>
  <sheetViews>
    <sheetView showGridLines="0" workbookViewId="0">
      <pane ySplit="4" topLeftCell="A25" activePane="bottomLeft" state="frozen"/>
      <selection pane="bottomLeft" activeCell="H38" sqref="H38"/>
    </sheetView>
  </sheetViews>
  <sheetFormatPr baseColWidth="10" defaultRowHeight="15" x14ac:dyDescent="0.25"/>
  <sheetData>
    <row r="1" spans="1:16" x14ac:dyDescent="0.25">
      <c r="A1" s="107"/>
      <c r="B1" s="119"/>
      <c r="C1" s="108"/>
      <c r="D1" s="95" t="s">
        <v>1</v>
      </c>
      <c r="E1" s="96"/>
      <c r="F1" s="96"/>
      <c r="G1" s="96"/>
      <c r="H1" s="96"/>
      <c r="I1" s="96"/>
      <c r="J1" s="96"/>
      <c r="K1" s="97"/>
      <c r="L1" s="107"/>
      <c r="M1" s="108"/>
      <c r="N1" s="27" t="s">
        <v>96</v>
      </c>
      <c r="O1" s="28"/>
      <c r="P1" s="29"/>
    </row>
    <row r="2" spans="1:16" ht="15.75" thickBot="1" x14ac:dyDescent="0.3">
      <c r="A2" s="109"/>
      <c r="B2" s="120"/>
      <c r="C2" s="110"/>
      <c r="D2" s="98"/>
      <c r="E2" s="99"/>
      <c r="F2" s="99"/>
      <c r="G2" s="99"/>
      <c r="H2" s="99"/>
      <c r="I2" s="99"/>
      <c r="J2" s="99"/>
      <c r="K2" s="100"/>
      <c r="L2" s="109"/>
      <c r="M2" s="110"/>
      <c r="N2" s="30"/>
      <c r="O2" s="31"/>
      <c r="P2" s="32"/>
    </row>
    <row r="3" spans="1:16" ht="15.75" thickBot="1" x14ac:dyDescent="0.3">
      <c r="A3" s="109"/>
      <c r="B3" s="120"/>
      <c r="C3" s="110"/>
      <c r="D3" s="101" t="s">
        <v>138</v>
      </c>
      <c r="E3" s="102"/>
      <c r="F3" s="102"/>
      <c r="G3" s="102"/>
      <c r="H3" s="102"/>
      <c r="I3" s="102"/>
      <c r="J3" s="102"/>
      <c r="K3" s="103"/>
      <c r="L3" s="111"/>
      <c r="M3" s="112"/>
      <c r="N3" s="30"/>
      <c r="O3" s="31"/>
      <c r="P3" s="32"/>
    </row>
    <row r="4" spans="1:16" ht="15.75" thickBot="1" x14ac:dyDescent="0.3">
      <c r="A4" s="111"/>
      <c r="B4" s="121"/>
      <c r="C4" s="112"/>
      <c r="D4" s="104"/>
      <c r="E4" s="105"/>
      <c r="F4" s="105"/>
      <c r="G4" s="105"/>
      <c r="H4" s="105"/>
      <c r="I4" s="105"/>
      <c r="J4" s="105"/>
      <c r="K4" s="106"/>
      <c r="L4" s="113" t="s">
        <v>0</v>
      </c>
      <c r="M4" s="114"/>
      <c r="N4" s="33"/>
      <c r="O4" s="34"/>
      <c r="P4" s="35"/>
    </row>
    <row r="8" spans="1:16" ht="15.75" thickBot="1" x14ac:dyDescent="0.3">
      <c r="B8" s="135" t="s">
        <v>106</v>
      </c>
    </row>
    <row r="9" spans="1:16" ht="15.75" thickBot="1" x14ac:dyDescent="0.3">
      <c r="E9" s="167" t="s">
        <v>110</v>
      </c>
      <c r="F9" s="168"/>
      <c r="G9" s="169" t="s">
        <v>141</v>
      </c>
      <c r="H9" s="169" t="s">
        <v>142</v>
      </c>
      <c r="I9" s="169" t="s">
        <v>143</v>
      </c>
      <c r="J9" s="169" t="s">
        <v>144</v>
      </c>
    </row>
    <row r="10" spans="1:16" ht="15.75" thickBot="1" x14ac:dyDescent="0.3">
      <c r="E10" s="167" t="s">
        <v>140</v>
      </c>
      <c r="F10" s="168"/>
    </row>
    <row r="14" spans="1:16" x14ac:dyDescent="0.25">
      <c r="B14" s="135" t="s">
        <v>107</v>
      </c>
    </row>
    <row r="15" spans="1:16" ht="15.75" thickBot="1" x14ac:dyDescent="0.3"/>
    <row r="16" spans="1:16" ht="15.75" thickBot="1" x14ac:dyDescent="0.3">
      <c r="B16" s="170" t="s">
        <v>139</v>
      </c>
      <c r="C16" s="171"/>
      <c r="D16" s="172">
        <v>1</v>
      </c>
      <c r="E16" s="172">
        <v>2</v>
      </c>
      <c r="F16" s="172">
        <v>3</v>
      </c>
      <c r="G16" s="172">
        <v>4</v>
      </c>
      <c r="H16" s="172">
        <v>5</v>
      </c>
      <c r="I16" s="172">
        <v>6</v>
      </c>
      <c r="J16" s="172">
        <v>7</v>
      </c>
      <c r="K16" s="172">
        <v>8</v>
      </c>
      <c r="L16" s="172">
        <v>9</v>
      </c>
      <c r="M16" s="172">
        <v>10</v>
      </c>
      <c r="N16" s="172">
        <v>11</v>
      </c>
      <c r="O16" s="172">
        <v>12</v>
      </c>
    </row>
    <row r="17" spans="2:16" ht="15.75" thickBot="1" x14ac:dyDescent="0.3">
      <c r="B17" s="173" t="s">
        <v>141</v>
      </c>
      <c r="C17" s="175" t="s">
        <v>145</v>
      </c>
    </row>
    <row r="18" spans="2:16" ht="15.75" thickBot="1" x14ac:dyDescent="0.3">
      <c r="B18" s="174"/>
      <c r="C18" s="175" t="s">
        <v>146</v>
      </c>
    </row>
    <row r="19" spans="2:16" ht="15.75" thickBot="1" x14ac:dyDescent="0.3">
      <c r="B19" s="173" t="s">
        <v>142</v>
      </c>
      <c r="C19" s="175" t="s">
        <v>145</v>
      </c>
    </row>
    <row r="20" spans="2:16" ht="15.75" thickBot="1" x14ac:dyDescent="0.3">
      <c r="B20" s="174"/>
      <c r="C20" s="175" t="s">
        <v>146</v>
      </c>
    </row>
    <row r="21" spans="2:16" ht="15.75" thickBot="1" x14ac:dyDescent="0.3">
      <c r="B21" s="173" t="s">
        <v>143</v>
      </c>
      <c r="C21" s="175" t="s">
        <v>145</v>
      </c>
    </row>
    <row r="22" spans="2:16" ht="15.75" thickBot="1" x14ac:dyDescent="0.3">
      <c r="B22" s="174"/>
      <c r="C22" s="175" t="s">
        <v>146</v>
      </c>
    </row>
    <row r="23" spans="2:16" ht="15.75" thickBot="1" x14ac:dyDescent="0.3">
      <c r="B23" s="173" t="s">
        <v>144</v>
      </c>
      <c r="C23" s="175" t="s">
        <v>145</v>
      </c>
    </row>
    <row r="24" spans="2:16" ht="15.75" thickBot="1" x14ac:dyDescent="0.3">
      <c r="B24" s="174"/>
      <c r="C24" s="175" t="s">
        <v>146</v>
      </c>
    </row>
    <row r="28" spans="2:16" x14ac:dyDescent="0.25">
      <c r="B28" s="135" t="s">
        <v>147</v>
      </c>
    </row>
    <row r="29" spans="2:16" ht="15.75" thickBot="1" x14ac:dyDescent="0.3"/>
    <row r="30" spans="2:16" ht="15.75" thickBot="1" x14ac:dyDescent="0.3">
      <c r="B30" s="170" t="s">
        <v>139</v>
      </c>
      <c r="C30" s="176"/>
      <c r="D30" s="171"/>
      <c r="E30" s="172">
        <v>1</v>
      </c>
      <c r="F30" s="172">
        <v>2</v>
      </c>
      <c r="G30" s="172">
        <v>3</v>
      </c>
      <c r="H30" s="172">
        <v>4</v>
      </c>
      <c r="I30" s="172">
        <v>5</v>
      </c>
      <c r="J30" s="172">
        <v>6</v>
      </c>
      <c r="K30" s="172">
        <v>7</v>
      </c>
      <c r="L30" s="172">
        <v>8</v>
      </c>
      <c r="M30" s="172">
        <v>9</v>
      </c>
      <c r="N30" s="172">
        <v>10</v>
      </c>
      <c r="O30" s="172">
        <v>11</v>
      </c>
      <c r="P30" s="172">
        <v>12</v>
      </c>
    </row>
    <row r="31" spans="2:16" ht="15.75" thickBot="1" x14ac:dyDescent="0.3">
      <c r="B31" s="173" t="s">
        <v>71</v>
      </c>
      <c r="C31" s="177" t="s">
        <v>148</v>
      </c>
      <c r="D31" s="178"/>
    </row>
    <row r="32" spans="2:16" ht="15.75" thickBot="1" x14ac:dyDescent="0.3">
      <c r="B32" s="174"/>
      <c r="C32" s="177" t="s">
        <v>149</v>
      </c>
      <c r="D32" s="178"/>
    </row>
    <row r="33" spans="2:4" ht="15.75" thickBot="1" x14ac:dyDescent="0.3"/>
    <row r="34" spans="2:4" ht="15.75" thickBot="1" x14ac:dyDescent="0.3">
      <c r="B34" s="173" t="s">
        <v>141</v>
      </c>
      <c r="C34" s="177" t="s">
        <v>150</v>
      </c>
      <c r="D34" s="178"/>
    </row>
    <row r="35" spans="2:4" ht="15.75" thickBot="1" x14ac:dyDescent="0.3">
      <c r="B35" s="179"/>
      <c r="C35" s="177" t="s">
        <v>151</v>
      </c>
      <c r="D35" s="178"/>
    </row>
    <row r="36" spans="2:4" ht="15.75" thickBot="1" x14ac:dyDescent="0.3">
      <c r="B36" s="179"/>
      <c r="C36" s="177" t="s">
        <v>152</v>
      </c>
      <c r="D36" s="178"/>
    </row>
    <row r="37" spans="2:4" ht="15.75" thickBot="1" x14ac:dyDescent="0.3">
      <c r="B37" s="179"/>
      <c r="C37" s="177" t="s">
        <v>153</v>
      </c>
      <c r="D37" s="178"/>
    </row>
    <row r="38" spans="2:4" ht="15.75" thickBot="1" x14ac:dyDescent="0.3">
      <c r="B38" s="179"/>
      <c r="C38" s="177" t="s">
        <v>145</v>
      </c>
      <c r="D38" s="178"/>
    </row>
    <row r="39" spans="2:4" ht="15.75" thickBot="1" x14ac:dyDescent="0.3">
      <c r="B39" s="174"/>
      <c r="C39" s="177" t="s">
        <v>154</v>
      </c>
      <c r="D39" s="178"/>
    </row>
    <row r="40" spans="2:4" ht="15.75" thickBot="1" x14ac:dyDescent="0.3"/>
    <row r="41" spans="2:4" ht="15.75" thickBot="1" x14ac:dyDescent="0.3">
      <c r="B41" s="173" t="s">
        <v>142</v>
      </c>
      <c r="C41" s="177" t="s">
        <v>150</v>
      </c>
      <c r="D41" s="178"/>
    </row>
    <row r="42" spans="2:4" ht="15.75" thickBot="1" x14ac:dyDescent="0.3">
      <c r="B42" s="179"/>
      <c r="C42" s="177" t="s">
        <v>151</v>
      </c>
      <c r="D42" s="178"/>
    </row>
    <row r="43" spans="2:4" ht="15.75" thickBot="1" x14ac:dyDescent="0.3">
      <c r="B43" s="179"/>
      <c r="C43" s="177" t="s">
        <v>155</v>
      </c>
      <c r="D43" s="178"/>
    </row>
    <row r="44" spans="2:4" ht="15.75" thickBot="1" x14ac:dyDescent="0.3">
      <c r="B44" s="179"/>
      <c r="C44" s="177" t="s">
        <v>153</v>
      </c>
      <c r="D44" s="178"/>
    </row>
    <row r="45" spans="2:4" ht="15.75" thickBot="1" x14ac:dyDescent="0.3">
      <c r="B45" s="179"/>
      <c r="C45" s="177" t="s">
        <v>145</v>
      </c>
      <c r="D45" s="178"/>
    </row>
    <row r="46" spans="2:4" ht="15.75" thickBot="1" x14ac:dyDescent="0.3">
      <c r="B46" s="174"/>
      <c r="C46" s="177" t="s">
        <v>154</v>
      </c>
      <c r="D46" s="178"/>
    </row>
    <row r="47" spans="2:4" ht="15.75" thickBot="1" x14ac:dyDescent="0.3"/>
    <row r="48" spans="2:4" ht="15.75" thickBot="1" x14ac:dyDescent="0.3">
      <c r="B48" s="173" t="s">
        <v>143</v>
      </c>
      <c r="C48" s="177" t="s">
        <v>150</v>
      </c>
      <c r="D48" s="178"/>
    </row>
    <row r="49" spans="2:4" ht="15.75" thickBot="1" x14ac:dyDescent="0.3">
      <c r="B49" s="179"/>
      <c r="C49" s="177" t="s">
        <v>151</v>
      </c>
      <c r="D49" s="178"/>
    </row>
    <row r="50" spans="2:4" ht="15.75" thickBot="1" x14ac:dyDescent="0.3">
      <c r="B50" s="179"/>
      <c r="C50" s="177" t="s">
        <v>156</v>
      </c>
      <c r="D50" s="178"/>
    </row>
    <row r="51" spans="2:4" ht="15.75" thickBot="1" x14ac:dyDescent="0.3">
      <c r="B51" s="179"/>
      <c r="C51" s="177" t="s">
        <v>153</v>
      </c>
      <c r="D51" s="178"/>
    </row>
    <row r="52" spans="2:4" ht="15.75" thickBot="1" x14ac:dyDescent="0.3">
      <c r="B52" s="179"/>
      <c r="C52" s="177" t="s">
        <v>145</v>
      </c>
      <c r="D52" s="178"/>
    </row>
    <row r="53" spans="2:4" ht="15.75" thickBot="1" x14ac:dyDescent="0.3">
      <c r="B53" s="174"/>
      <c r="C53" s="177" t="s">
        <v>154</v>
      </c>
      <c r="D53" s="178"/>
    </row>
    <row r="54" spans="2:4" ht="15.75" thickBot="1" x14ac:dyDescent="0.3"/>
    <row r="55" spans="2:4" ht="15.75" thickBot="1" x14ac:dyDescent="0.3">
      <c r="B55" s="173" t="s">
        <v>144</v>
      </c>
      <c r="C55" s="177" t="s">
        <v>150</v>
      </c>
      <c r="D55" s="178"/>
    </row>
    <row r="56" spans="2:4" ht="15.75" thickBot="1" x14ac:dyDescent="0.3">
      <c r="B56" s="179"/>
      <c r="C56" s="177" t="s">
        <v>151</v>
      </c>
      <c r="D56" s="178"/>
    </row>
    <row r="57" spans="2:4" ht="15.75" thickBot="1" x14ac:dyDescent="0.3">
      <c r="B57" s="179"/>
      <c r="C57" s="177" t="s">
        <v>157</v>
      </c>
      <c r="D57" s="178"/>
    </row>
    <row r="58" spans="2:4" ht="15.75" thickBot="1" x14ac:dyDescent="0.3">
      <c r="B58" s="179"/>
      <c r="C58" s="177" t="s">
        <v>153</v>
      </c>
      <c r="D58" s="178"/>
    </row>
    <row r="59" spans="2:4" ht="15.75" thickBot="1" x14ac:dyDescent="0.3">
      <c r="B59" s="179"/>
      <c r="C59" s="177" t="s">
        <v>145</v>
      </c>
      <c r="D59" s="178"/>
    </row>
    <row r="60" spans="2:4" ht="15.75" thickBot="1" x14ac:dyDescent="0.3">
      <c r="B60" s="174"/>
      <c r="C60" s="177" t="s">
        <v>154</v>
      </c>
      <c r="D60" s="178"/>
    </row>
  </sheetData>
  <mergeCells count="45">
    <mergeCell ref="N1:P4"/>
    <mergeCell ref="B55:B60"/>
    <mergeCell ref="C55:D55"/>
    <mergeCell ref="C56:D56"/>
    <mergeCell ref="C57:D57"/>
    <mergeCell ref="C58:D58"/>
    <mergeCell ref="C59:D59"/>
    <mergeCell ref="C60:D60"/>
    <mergeCell ref="B48:B53"/>
    <mergeCell ref="C48:D48"/>
    <mergeCell ref="C49:D49"/>
    <mergeCell ref="C50:D50"/>
    <mergeCell ref="C51:D51"/>
    <mergeCell ref="C52:D52"/>
    <mergeCell ref="C53:D53"/>
    <mergeCell ref="C39:D39"/>
    <mergeCell ref="B41:B46"/>
    <mergeCell ref="C41:D41"/>
    <mergeCell ref="C42:D42"/>
    <mergeCell ref="C43:D43"/>
    <mergeCell ref="C44:D44"/>
    <mergeCell ref="C45:D45"/>
    <mergeCell ref="C46:D46"/>
    <mergeCell ref="B30:D30"/>
    <mergeCell ref="B31:B32"/>
    <mergeCell ref="C31:D31"/>
    <mergeCell ref="C32:D32"/>
    <mergeCell ref="B34:B39"/>
    <mergeCell ref="C34:D34"/>
    <mergeCell ref="C35:D35"/>
    <mergeCell ref="C36:D36"/>
    <mergeCell ref="C37:D37"/>
    <mergeCell ref="C38:D38"/>
    <mergeCell ref="E10:F10"/>
    <mergeCell ref="B16:C16"/>
    <mergeCell ref="B17:B18"/>
    <mergeCell ref="B19:B20"/>
    <mergeCell ref="B21:B22"/>
    <mergeCell ref="B23:B24"/>
    <mergeCell ref="A1:C4"/>
    <mergeCell ref="D1:K2"/>
    <mergeCell ref="L1:M3"/>
    <mergeCell ref="D3:K4"/>
    <mergeCell ref="L4:M4"/>
    <mergeCell ref="E9:F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mportarDatos_Capacidad">
                <anchor moveWithCells="1" sizeWithCells="1">
                  <from>
                    <xdr:col>4</xdr:col>
                    <xdr:colOff>28575</xdr:colOff>
                    <xdr:row>4</xdr:row>
                    <xdr:rowOff>123825</xdr:rowOff>
                  </from>
                  <to>
                    <xdr:col>5</xdr:col>
                    <xdr:colOff>685800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BorrardatosCAP">
                <anchor moveWithCells="1" sizeWithCells="1">
                  <from>
                    <xdr:col>8</xdr:col>
                    <xdr:colOff>9525</xdr:colOff>
                    <xdr:row>4</xdr:row>
                    <xdr:rowOff>133350</xdr:rowOff>
                  </from>
                  <to>
                    <xdr:col>9</xdr:col>
                    <xdr:colOff>609600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Inicio</vt:lpstr>
      <vt:lpstr>PAP</vt:lpstr>
      <vt:lpstr>Resultados_PAP</vt:lpstr>
      <vt:lpstr>PMP</vt:lpstr>
      <vt:lpstr>Resultados_PMP</vt:lpstr>
      <vt:lpstr>CAPACIDAD</vt:lpstr>
      <vt:lpstr>RESULTADOS_CAP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2022-06-22T18:58:31Z</dcterms:created>
  <dcterms:modified xsi:type="dcterms:W3CDTF">2023-02-04T18:33:35Z</dcterms:modified>
</cp:coreProperties>
</file>